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mercios" sheetId="2" state="visible" r:id="rId2"/>
    <sheet name="Categorias" sheetId="3" state="visible" r:id="rId3"/>
  </sheets>
  <definedNames>
    <definedName name="_xlnm.Print_Titles" localSheetId="1">'Comercios'!$1:$1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0F172A"/>
      <sz val="11"/>
    </font>
    <font>
      <name val="Calibri"/>
      <color rgb="000F766E"/>
      <sz val="10"/>
      <u val="single"/>
    </font>
    <font>
      <name val="Calibri"/>
      <b val="1"/>
      <color rgb="00FFFFFF"/>
      <sz val="22"/>
    </font>
    <font>
      <name val="Calibri"/>
      <i val="1"/>
      <color rgb="00115E59"/>
      <sz val="11"/>
    </font>
    <font>
      <name val="Calibri"/>
      <b val="1"/>
      <color rgb="000F766E"/>
      <sz val="10"/>
    </font>
    <font>
      <name val="Calibri"/>
      <b val="1"/>
      <color rgb="00115E59"/>
      <sz val="26"/>
    </font>
    <font>
      <name val="Calibri"/>
      <color rgb="00475569"/>
      <sz val="9"/>
    </font>
    <font>
      <name val="Calibri"/>
      <b val="1"/>
      <color rgb="00FFFFFF"/>
      <sz val="13"/>
    </font>
    <font>
      <name val="Calibri"/>
      <color rgb="00475569"/>
      <sz val="10"/>
    </font>
  </fonts>
  <fills count="9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15E59"/>
      </patternFill>
    </fill>
    <fill>
      <patternFill patternType="solid">
        <fgColor rgb="00CCFBF1"/>
      </patternFill>
    </fill>
    <fill>
      <patternFill patternType="solid">
        <fgColor rgb="00ECFDF5"/>
      </patternFill>
    </fill>
    <fill>
      <patternFill patternType="solid">
        <fgColor rgb="00F0FDFA"/>
      </patternFill>
    </fill>
  </fills>
  <borders count="3">
    <border>
      <left/>
      <right/>
      <top/>
      <bottom/>
      <diagonal/>
    </border>
    <border>
      <left style="thin">
        <color rgb="00D1FAE5"/>
      </left>
      <right style="thin">
        <color rgb="00D1FAE5"/>
      </right>
      <top style="thin">
        <color rgb="00D1FAE5"/>
      </top>
      <bottom style="thin">
        <color rgb="00D1FAE5"/>
      </bottom>
    </border>
    <border>
      <left style="thin">
        <color rgb="000F766E"/>
      </left>
      <right style="thin">
        <color rgb="000F766E"/>
      </right>
      <top style="thin">
        <color rgb="000F766E"/>
      </top>
      <bottom style="thin">
        <color rgb="000F766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6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7" fillId="7" borderId="2" applyAlignment="1" pivotButton="0" quotePrefix="0" xfId="0">
      <alignment horizontal="center" vertical="center"/>
    </xf>
    <xf numFmtId="0" fontId="0" fillId="7" borderId="2" pivotButton="0" quotePrefix="0" xfId="0"/>
    <xf numFmtId="3" fontId="8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 indent="1"/>
    </xf>
    <xf numFmtId="0" fontId="0" fillId="8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Comercios por categoría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'Resumen'!B10</f>
            </strRef>
          </tx>
          <spPr>
            <a:solidFill>
              <a:srgbClr val="0F766E"/>
            </a:solidFill>
            <a:ln>
              <a:prstDash val="solid"/>
            </a:ln>
          </spPr>
          <cat>
            <numRef>
              <f>'Resumen'!$A$11:$A$25</f>
            </numRef>
          </cat>
          <val>
            <numRef>
              <f>'Resumen'!$B$11:$B$25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omercios" displayName="tblComercios" ref="A1:G1817" headerRowCount="1">
  <autoFilter ref="A1:G1817"/>
  <tableColumns count="7">
    <tableColumn id="1" name="N°"/>
    <tableColumn id="2" name="Nombre"/>
    <tableColumn id="3" name="Categoría"/>
    <tableColumn id="4" name="Ubicación"/>
    <tableColumn id="5" name="Página"/>
    <tableColumn id="6" name="ID GUIAR"/>
    <tableColumn id="7" name="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ategorias" displayName="tblCategorias" ref="A1:D285" headerRowCount="1">
  <autoFilter ref="A1:D285"/>
  <tableColumns count="4">
    <tableColumn id="1" name="#"/>
    <tableColumn id="2" name="Categoría"/>
    <tableColumn id="3" name="Cantidad"/>
    <tableColumn id="4" name="% del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uiarsanrafael.com.ar/empresa/4-estaciones-regionales/" TargetMode="External" Id="rId1" /><Relationship Type="http://schemas.openxmlformats.org/officeDocument/2006/relationships/hyperlink" Target="https://guiarsanrafael.com.ar/empresa/a-la-flauta/" TargetMode="External" Id="rId2" /><Relationship Type="http://schemas.openxmlformats.org/officeDocument/2006/relationships/hyperlink" Target="https://guiarsanrafael.com.ar/empresa/a-lo-cubano-barberia/" TargetMode="External" Id="rId3" /><Relationship Type="http://schemas.openxmlformats.org/officeDocument/2006/relationships/hyperlink" Target="https://guiarsanrafael.com.ar/empresa/abbona-barcudi-laboratorio/" TargetMode="External" Id="rId4" /><Relationship Type="http://schemas.openxmlformats.org/officeDocument/2006/relationships/hyperlink" Target="https://guiarsanrafael.com.ar/empresa/aberturas-emilio/" TargetMode="External" Id="rId5" /><Relationship Type="http://schemas.openxmlformats.org/officeDocument/2006/relationships/hyperlink" Target="https://guiarsanrafael.com.ar/empresa/absolut-fitness-gim/" TargetMode="External" Id="rId6" /><Relationship Type="http://schemas.openxmlformats.org/officeDocument/2006/relationships/hyperlink" Target="https://guiarsanrafael.com.ar/empresa/aceros-defer-s-a/" TargetMode="External" Id="rId7" /><Relationship Type="http://schemas.openxmlformats.org/officeDocument/2006/relationships/hyperlink" Target="https://guiarsanrafael.com.ar/empresa/aconcagua-repuestos/" TargetMode="External" Id="rId8" /><Relationship Type="http://schemas.openxmlformats.org/officeDocument/2006/relationships/hyperlink" Target="https://guiarsanrafael.com.ar/empresa/acosta-vidrios/" TargetMode="External" Id="rId9" /><Relationship Type="http://schemas.openxmlformats.org/officeDocument/2006/relationships/hyperlink" Target="https://guiarsanrafael.com.ar/empresa/acumuladores-mario-stilo/" TargetMode="External" Id="rId10" /><Relationship Type="http://schemas.openxmlformats.org/officeDocument/2006/relationships/hyperlink" Target="https://guiarsanrafael.com.ar/empresa/acuna-romina/" TargetMode="External" Id="rId11" /><Relationship Type="http://schemas.openxmlformats.org/officeDocument/2006/relationships/hyperlink" Target="https://guiarsanrafael.com.ar/empresa/addictive-gtm/" TargetMode="External" Id="rId12" /><Relationship Type="http://schemas.openxmlformats.org/officeDocument/2006/relationships/hyperlink" Target="https://guiarsanrafael.com.ar/empresa/adolfo-agro-veterinaria/" TargetMode="External" Id="rId13" /><Relationship Type="http://schemas.openxmlformats.org/officeDocument/2006/relationships/hyperlink" Target="https://guiarsanrafael.com.ar/empresa/adrian-arano/" TargetMode="External" Id="rId14" /><Relationship Type="http://schemas.openxmlformats.org/officeDocument/2006/relationships/hyperlink" Target="https://guiarsanrafael.com.ar/empresa/adrian-gimenez/" TargetMode="External" Id="rId15" /><Relationship Type="http://schemas.openxmlformats.org/officeDocument/2006/relationships/hyperlink" Target="https://guiarsanrafael.com.ar/empresa/adrian-poblete/" TargetMode="External" Id="rId16" /><Relationship Type="http://schemas.openxmlformats.org/officeDocument/2006/relationships/hyperlink" Target="https://guiarsanrafael.com.ar/empresa/adriana-carmona/" TargetMode="External" Id="rId17" /><Relationship Type="http://schemas.openxmlformats.org/officeDocument/2006/relationships/hyperlink" Target="https://guiarsanrafael.com.ar/empresa/adriana-casado/" TargetMode="External" Id="rId18" /><Relationship Type="http://schemas.openxmlformats.org/officeDocument/2006/relationships/hyperlink" Target="https://guiarsanrafael.com.ar/empresa/adriana-cortez/" TargetMode="External" Id="rId19" /><Relationship Type="http://schemas.openxmlformats.org/officeDocument/2006/relationships/hyperlink" Target="https://guiarsanrafael.com.ar/empresa/adriana-gambaro/" TargetMode="External" Id="rId20" /><Relationship Type="http://schemas.openxmlformats.org/officeDocument/2006/relationships/hyperlink" Target="https://guiarsanrafael.com.ar/empresa/ag-cremaciones-de-mascotas/" TargetMode="External" Id="rId21" /><Relationship Type="http://schemas.openxmlformats.org/officeDocument/2006/relationships/hyperlink" Target="https://guiarsanrafael.com.ar/empresa/sanagro-srl-agroquimica/" TargetMode="External" Id="rId22" /><Relationship Type="http://schemas.openxmlformats.org/officeDocument/2006/relationships/hyperlink" Target="https://guiarsanrafael.com.ar/empresa/agro-giambenedetti/" TargetMode="External" Id="rId23" /><Relationship Type="http://schemas.openxmlformats.org/officeDocument/2006/relationships/hyperlink" Target="https://guiarsanrafael.com.ar/empresa/agro-insumos-gonzalo/" TargetMode="External" Id="rId24" /><Relationship Type="http://schemas.openxmlformats.org/officeDocument/2006/relationships/hyperlink" Target="https://guiarsanrafael.com.ar/empresa/9668/" TargetMode="External" Id="rId25" /><Relationship Type="http://schemas.openxmlformats.org/officeDocument/2006/relationships/hyperlink" Target="https://guiarsanrafael.com.ar/empresa/__trashed-5/" TargetMode="External" Id="rId26" /><Relationship Type="http://schemas.openxmlformats.org/officeDocument/2006/relationships/hyperlink" Target="https://guiarsanrafael.com.ar/empresa/aguilera-maria-de-los-a/" TargetMode="External" Id="rId27" /><Relationship Type="http://schemas.openxmlformats.org/officeDocument/2006/relationships/hyperlink" Target="https://guiarsanrafael.com.ar/empresa/agustin-olivares/" TargetMode="External" Id="rId28" /><Relationship Type="http://schemas.openxmlformats.org/officeDocument/2006/relationships/hyperlink" Target="https://guiarsanrafael.com.ar/empresa/agustina-del-valle-fernandez/" TargetMode="External" Id="rId29" /><Relationship Type="http://schemas.openxmlformats.org/officeDocument/2006/relationships/hyperlink" Target="https://guiarsanrafael.com.ar/empresa/agustina-godoy/" TargetMode="External" Id="rId30" /><Relationship Type="http://schemas.openxmlformats.org/officeDocument/2006/relationships/hyperlink" Target="https://guiarsanrafael.com.ar/empresa/aire-atencion-respiratoria-integral/" TargetMode="External" Id="rId31" /><Relationship Type="http://schemas.openxmlformats.org/officeDocument/2006/relationships/hyperlink" Target="https://guiarsanrafael.com.ar/empresa/al-antojo-del-cocinero/" TargetMode="External" Id="rId32" /><Relationship Type="http://schemas.openxmlformats.org/officeDocument/2006/relationships/hyperlink" Target="https://guiarsanrafael.com.ar/empresa/al-buen-dormir/" TargetMode="External" Id="rId33" /><Relationship Type="http://schemas.openxmlformats.org/officeDocument/2006/relationships/hyperlink" Target="https://guiarsanrafael.com.ar/empresa/al-dente-pastas/" TargetMode="External" Id="rId34" /><Relationship Type="http://schemas.openxmlformats.org/officeDocument/2006/relationships/hyperlink" Target="https://guiarsanrafael.com.ar/empresa/albero-antonio-hector/" TargetMode="External" Id="rId35" /><Relationship Type="http://schemas.openxmlformats.org/officeDocument/2006/relationships/hyperlink" Target="https://guiarsanrafael.com.ar/empresa/alberto-eztala/" TargetMode="External" Id="rId36" /><Relationship Type="http://schemas.openxmlformats.org/officeDocument/2006/relationships/hyperlink" Target="https://guiarsanrafael.com.ar/empresa/alberto-nadim-yunes-laboratorio/" TargetMode="External" Id="rId37" /><Relationship Type="http://schemas.openxmlformats.org/officeDocument/2006/relationships/hyperlink" Target="https://guiarsanrafael.com.ar/empresa/alcaya-sanchez-laura-estela/" TargetMode="External" Id="rId38" /><Relationship Type="http://schemas.openxmlformats.org/officeDocument/2006/relationships/hyperlink" Target="https://guiarsanrafael.com.ar/empresa/aldo-borovina/" TargetMode="External" Id="rId39" /><Relationship Type="http://schemas.openxmlformats.org/officeDocument/2006/relationships/hyperlink" Target="https://guiarsanrafael.com.ar/empresa/ale-pesca/" TargetMode="External" Id="rId40" /><Relationship Type="http://schemas.openxmlformats.org/officeDocument/2006/relationships/hyperlink" Target="https://guiarsanrafael.com.ar/empresa/alejandra-atencio/" TargetMode="External" Id="rId41" /><Relationship Type="http://schemas.openxmlformats.org/officeDocument/2006/relationships/hyperlink" Target="https://guiarsanrafael.com.ar/empresa/alejandra-blanco-allemant/" TargetMode="External" Id="rId42" /><Relationship Type="http://schemas.openxmlformats.org/officeDocument/2006/relationships/hyperlink" Target="https://guiarsanrafael.com.ar/empresa/alejandra-tello/" TargetMode="External" Id="rId43" /><Relationship Type="http://schemas.openxmlformats.org/officeDocument/2006/relationships/hyperlink" Target="https://guiarsanrafael.com.ar/empresa/alejandra-troyano/" TargetMode="External" Id="rId44" /><Relationship Type="http://schemas.openxmlformats.org/officeDocument/2006/relationships/hyperlink" Target="https://guiarsanrafael.com.ar/empresa/alejandra-vizcaya/" TargetMode="External" Id="rId45" /><Relationship Type="http://schemas.openxmlformats.org/officeDocument/2006/relationships/hyperlink" Target="https://guiarsanrafael.com.ar/empresa/alejandro-garcia-heras/" TargetMode="External" Id="rId46" /><Relationship Type="http://schemas.openxmlformats.org/officeDocument/2006/relationships/hyperlink" Target="https://guiarsanrafael.com.ar/empresa/alejandro-jacinto/" TargetMode="External" Id="rId47" /><Relationship Type="http://schemas.openxmlformats.org/officeDocument/2006/relationships/hyperlink" Target="https://guiarsanrafael.com.ar/empresa/alejandro-perez-azcurra/" TargetMode="External" Id="rId48" /><Relationship Type="http://schemas.openxmlformats.org/officeDocument/2006/relationships/hyperlink" Target="https://guiarsanrafael.com.ar/empresa/alejandro-zamora/" TargetMode="External" Id="rId49" /><Relationship Type="http://schemas.openxmlformats.org/officeDocument/2006/relationships/hyperlink" Target="https://guiarsanrafael.com.ar/empresa/alfonso-lorenzo/" TargetMode="External" Id="rId50" /><Relationship Type="http://schemas.openxmlformats.org/officeDocument/2006/relationships/hyperlink" Target="https://guiarsanrafael.com.ar/empresa/alfredo-arnedillo/" TargetMode="External" Id="rId51" /><Relationship Type="http://schemas.openxmlformats.org/officeDocument/2006/relationships/hyperlink" Target="https://guiarsanrafael.com.ar/empresa/alimech-las-cuadradas/" TargetMode="External" Id="rId52" /><Relationship Type="http://schemas.openxmlformats.org/officeDocument/2006/relationships/hyperlink" Target="https://guiarsanrafael.com.ar/empresa/alma-dulce-panaderia/" TargetMode="External" Id="rId53" /><Relationship Type="http://schemas.openxmlformats.org/officeDocument/2006/relationships/hyperlink" Target="https://guiarsanrafael.com.ar/empresa/alma-dulce-panaderia-2/" TargetMode="External" Id="rId54" /><Relationship Type="http://schemas.openxmlformats.org/officeDocument/2006/relationships/hyperlink" Target="https://guiarsanrafael.com.ar/empresa/almacen-del-barrio-fiambreria/" TargetMode="External" Id="rId55" /><Relationship Type="http://schemas.openxmlformats.org/officeDocument/2006/relationships/hyperlink" Target="https://guiarsanrafael.com.ar/empresa/almacen-mitre/" TargetMode="External" Id="rId56" /><Relationship Type="http://schemas.openxmlformats.org/officeDocument/2006/relationships/hyperlink" Target="https://guiarsanrafael.com.ar/empresa/almacen-1933/" TargetMode="External" Id="rId57" /><Relationship Type="http://schemas.openxmlformats.org/officeDocument/2006/relationships/hyperlink" Target="https://guiarsanrafael.com.ar/empresa/almacen-yancanelo/" TargetMode="External" Id="rId58" /><Relationship Type="http://schemas.openxmlformats.org/officeDocument/2006/relationships/hyperlink" Target="https://guiarsanrafael.com.ar/empresa/aloha-heladerias-%f0%9f%8d%a8/" TargetMode="External" Id="rId59" /><Relationship Type="http://schemas.openxmlformats.org/officeDocument/2006/relationships/hyperlink" Target="https://guiarsanrafael.com.ar/empresa/aloha-heladerias-%f0%9f%8d%a8-2/" TargetMode="External" Id="rId60" /><Relationship Type="http://schemas.openxmlformats.org/officeDocument/2006/relationships/hyperlink" Target="https://guiarsanrafael.com.ar/empresa/alonso-santiago-julian/" TargetMode="External" Id="rId61" /><Relationship Type="http://schemas.openxmlformats.org/officeDocument/2006/relationships/hyperlink" Target="https://guiarsanrafael.com.ar/empresa/alpa-repuestos/" TargetMode="External" Id="rId62" /><Relationship Type="http://schemas.openxmlformats.org/officeDocument/2006/relationships/hyperlink" Target="https://guiarsanrafael.com.ar/empresa/alquiler-de-candy-bar/" TargetMode="External" Id="rId63" /><Relationship Type="http://schemas.openxmlformats.org/officeDocument/2006/relationships/hyperlink" Target="https://guiarsanrafael.com.ar/empresa/alta-imagen-s-a-diagnostico-medico/" TargetMode="External" Id="rId64" /><Relationship Type="http://schemas.openxmlformats.org/officeDocument/2006/relationships/hyperlink" Target="https://guiarsanrafael.com.ar/empresa/altamiranda-sergio-r/" TargetMode="External" Id="rId65" /><Relationship Type="http://schemas.openxmlformats.org/officeDocument/2006/relationships/hyperlink" Target="https://guiarsanrafael.com.ar/empresa/altos-del-nihuil-restaurant-boutique/" TargetMode="External" Id="rId66" /><Relationship Type="http://schemas.openxmlformats.org/officeDocument/2006/relationships/hyperlink" Target="https://guiarsanrafael.com.ar/empresa/aluminio-2000/" TargetMode="External" Id="rId67" /><Relationship Type="http://schemas.openxmlformats.org/officeDocument/2006/relationships/hyperlink" Target="https://guiarsanrafael.com.ar/empresa/amara-centro-de-estetica/" TargetMode="External" Id="rId68" /><Relationship Type="http://schemas.openxmlformats.org/officeDocument/2006/relationships/hyperlink" Target="https://guiarsanrafael.com.ar/empresa/amarillo-textil/" TargetMode="External" Id="rId69" /><Relationship Type="http://schemas.openxmlformats.org/officeDocument/2006/relationships/hyperlink" Target="https://guiarsanrafael.com.ar/empresa/ambrosini-luciana/" TargetMode="External" Id="rId70" /><Relationship Type="http://schemas.openxmlformats.org/officeDocument/2006/relationships/hyperlink" Target="https://guiarsanrafael.com.ar/empresa/amg-compania-constructora/" TargetMode="External" Id="rId71" /><Relationship Type="http://schemas.openxmlformats.org/officeDocument/2006/relationships/hyperlink" Target="https://guiarsanrafael.com.ar/empresa/amukan-guest-house/" TargetMode="External" Id="rId72" /><Relationship Type="http://schemas.openxmlformats.org/officeDocument/2006/relationships/hyperlink" Target="https://guiarsanrafael.com.ar/empresa/ana-borovina/" TargetMode="External" Id="rId73" /><Relationship Type="http://schemas.openxmlformats.org/officeDocument/2006/relationships/hyperlink" Target="https://guiarsanrafael.com.ar/empresa/ana-cordeschi/" TargetMode="External" Id="rId74" /><Relationship Type="http://schemas.openxmlformats.org/officeDocument/2006/relationships/hyperlink" Target="https://guiarsanrafael.com.ar/empresa/ana-liz-biurrum/" TargetMode="External" Id="rId75" /><Relationship Type="http://schemas.openxmlformats.org/officeDocument/2006/relationships/hyperlink" Target="https://guiarsanrafael.com.ar/empresa/ana-maria-prior/" TargetMode="External" Id="rId76" /><Relationship Type="http://schemas.openxmlformats.org/officeDocument/2006/relationships/hyperlink" Target="https://guiarsanrafael.com.ar/empresa/ana-paula-maggioni/" TargetMode="External" Id="rId77" /><Relationship Type="http://schemas.openxmlformats.org/officeDocument/2006/relationships/hyperlink" Target="https://guiarsanrafael.com.ar/empresa/anabella-galera/" TargetMode="External" Id="rId78" /><Relationship Type="http://schemas.openxmlformats.org/officeDocument/2006/relationships/hyperlink" Target="https://guiarsanrafael.com.ar/empresa/analisis-biologicos-y-quimicos/" TargetMode="External" Id="rId79" /><Relationship Type="http://schemas.openxmlformats.org/officeDocument/2006/relationships/hyperlink" Target="https://guiarsanrafael.com.ar/empresa/andemi-distribuidora/" TargetMode="External" Id="rId80" /><Relationship Type="http://schemas.openxmlformats.org/officeDocument/2006/relationships/hyperlink" Target="https://guiarsanrafael.com.ar/empresa/andes-motors/" TargetMode="External" Id="rId81" /><Relationship Type="http://schemas.openxmlformats.org/officeDocument/2006/relationships/hyperlink" Target="https://guiarsanrafael.com.ar/empresa/andinos-del-nevado/" TargetMode="External" Id="rId82" /><Relationship Type="http://schemas.openxmlformats.org/officeDocument/2006/relationships/hyperlink" Target="https://guiarsanrafael.com.ar/empresa/andrea-gutierrez/" TargetMode="External" Id="rId83" /><Relationship Type="http://schemas.openxmlformats.org/officeDocument/2006/relationships/hyperlink" Target="https://guiarsanrafael.com.ar/empresa/andrea-serrano/" TargetMode="External" Id="rId84" /><Relationship Type="http://schemas.openxmlformats.org/officeDocument/2006/relationships/hyperlink" Target="https://guiarsanrafael.com.ar/empresa/andrea-turesso-bienes-raices/" TargetMode="External" Id="rId85" /><Relationship Type="http://schemas.openxmlformats.org/officeDocument/2006/relationships/hyperlink" Target="https://guiarsanrafael.com.ar/empresa/andres-automotores/" TargetMode="External" Id="rId86" /><Relationship Type="http://schemas.openxmlformats.org/officeDocument/2006/relationships/hyperlink" Target="https://guiarsanrafael.com.ar/empresa/andres-gatti/" TargetMode="External" Id="rId87" /><Relationship Type="http://schemas.openxmlformats.org/officeDocument/2006/relationships/hyperlink" Target="https://guiarsanrafael.com.ar/empresa/andres-gervasi/" TargetMode="External" Id="rId88" /><Relationship Type="http://schemas.openxmlformats.org/officeDocument/2006/relationships/hyperlink" Target="https://guiarsanrafael.com.ar/empresa/andres-rubio/" TargetMode="External" Id="rId89" /><Relationship Type="http://schemas.openxmlformats.org/officeDocument/2006/relationships/hyperlink" Target="https://guiarsanrafael.com.ar/empresa/andy-gomas/" TargetMode="External" Id="rId90" /><Relationship Type="http://schemas.openxmlformats.org/officeDocument/2006/relationships/hyperlink" Target="https://guiarsanrafael.com.ar/empresa/anesuel-tienda/" TargetMode="External" Id="rId91" /><Relationship Type="http://schemas.openxmlformats.org/officeDocument/2006/relationships/hyperlink" Target="https://guiarsanrafael.com.ar/empresa/angela-contrafatto/" TargetMode="External" Id="rId92" /><Relationship Type="http://schemas.openxmlformats.org/officeDocument/2006/relationships/hyperlink" Target="https://guiarsanrafael.com.ar/empresa/angeles-pizarro-masoterapeuta/" TargetMode="External" Id="rId93" /><Relationship Type="http://schemas.openxmlformats.org/officeDocument/2006/relationships/hyperlink" Target="https://guiarsanrafael.com.ar/empresa/antenor-cruz-funez/" TargetMode="External" Id="rId94" /><Relationship Type="http://schemas.openxmlformats.org/officeDocument/2006/relationships/hyperlink" Target="https://guiarsanrafael.com.ar/empresa/maria-antonella-navarrete/" TargetMode="External" Id="rId95" /><Relationship Type="http://schemas.openxmlformats.org/officeDocument/2006/relationships/hyperlink" Target="https://guiarsanrafael.com.ar/empresa/antonella-cichelli/" TargetMode="External" Id="rId96" /><Relationship Type="http://schemas.openxmlformats.org/officeDocument/2006/relationships/hyperlink" Target="https://guiarsanrafael.com.ar/empresa/antonella-morandin/" TargetMode="External" Id="rId97" /><Relationship Type="http://schemas.openxmlformats.org/officeDocument/2006/relationships/hyperlink" Target="https://guiarsanrafael.com.ar/empresa/antonieta-hostel/" TargetMode="External" Id="rId98" /><Relationship Type="http://schemas.openxmlformats.org/officeDocument/2006/relationships/hyperlink" Target="https://guiarsanrafael.com.ar/empresa/analisis-clinicos-san-rafael/" TargetMode="External" Id="rId99" /><Relationship Type="http://schemas.openxmlformats.org/officeDocument/2006/relationships/hyperlink" Target="https://guiarsanrafael.com.ar/empresa/apart-hotel-milenium/" TargetMode="External" Id="rId100" /><Relationship Type="http://schemas.openxmlformats.org/officeDocument/2006/relationships/hyperlink" Target="https://guiarsanrafael.com.ar/empresa/apart-hotel-sesma-cabanas/" TargetMode="External" Id="rId101" /><Relationship Type="http://schemas.openxmlformats.org/officeDocument/2006/relationships/hyperlink" Target="https://guiarsanrafael.com.ar/empresa/apartamentos-boulevard/" TargetMode="External" Id="rId102" /><Relationship Type="http://schemas.openxmlformats.org/officeDocument/2006/relationships/hyperlink" Target="https://guiarsanrafael.com.ar/empresa/apolo-gym-hard-trainer/" TargetMode="External" Id="rId103" /><Relationship Type="http://schemas.openxmlformats.org/officeDocument/2006/relationships/hyperlink" Target="https://guiarsanrafael.com.ar/empresa/aqua-pesca-y-camping/" TargetMode="External" Id="rId104" /><Relationship Type="http://schemas.openxmlformats.org/officeDocument/2006/relationships/hyperlink" Target="https://guiarsanrafael.com.ar/empresa/arana-vidrios/" TargetMode="External" Id="rId105" /><Relationship Type="http://schemas.openxmlformats.org/officeDocument/2006/relationships/hyperlink" Target="https://guiarsanrafael.com.ar/empresa/araucaria-resort/" TargetMode="External" Id="rId106" /><Relationship Type="http://schemas.openxmlformats.org/officeDocument/2006/relationships/hyperlink" Target="https://guiarsanrafael.com.ar/empresa/arco-cotillon/" TargetMode="External" Id="rId107" /><Relationship Type="http://schemas.openxmlformats.org/officeDocument/2006/relationships/hyperlink" Target="https://guiarsanrafael.com.ar/empresa/argos-diagnosticos-oftalmologicos/" TargetMode="External" Id="rId108" /><Relationship Type="http://schemas.openxmlformats.org/officeDocument/2006/relationships/hyperlink" Target="https://guiarsanrafael.com.ar/empresa/arian-norberto-monzalvo/" TargetMode="External" Id="rId109" /><Relationship Type="http://schemas.openxmlformats.org/officeDocument/2006/relationships/hyperlink" Target="https://guiarsanrafael.com.ar/empresa/ariel-cervantes-servicio-mecanico/" TargetMode="External" Id="rId110" /><Relationship Type="http://schemas.openxmlformats.org/officeDocument/2006/relationships/hyperlink" Target="https://guiarsanrafael.com.ar/empresa/ariel-huerta-servicio-de-gomeria/" TargetMode="External" Id="rId111" /><Relationship Type="http://schemas.openxmlformats.org/officeDocument/2006/relationships/hyperlink" Target="https://guiarsanrafael.com.ar/empresa/8445/" TargetMode="External" Id="rId112" /><Relationship Type="http://schemas.openxmlformats.org/officeDocument/2006/relationships/hyperlink" Target="https://guiarsanrafael.com.ar/empresa/arrula-luciano-martin/" TargetMode="External" Id="rId113" /><Relationship Type="http://schemas.openxmlformats.org/officeDocument/2006/relationships/hyperlink" Target="https://guiarsanrafael.com.ar/empresa/as-productos-sublimables/" TargetMode="External" Id="rId114" /><Relationship Type="http://schemas.openxmlformats.org/officeDocument/2006/relationships/hyperlink" Target="https://guiarsanrafael.com.ar/empresa/asclepio-centro-de-rehabilitacion/" TargetMode="External" Id="rId115" /><Relationship Type="http://schemas.openxmlformats.org/officeDocument/2006/relationships/hyperlink" Target="https://guiarsanrafael.com.ar/empresa/astudillo-amoblamietos/" TargetMode="External" Id="rId116" /><Relationship Type="http://schemas.openxmlformats.org/officeDocument/2006/relationships/hyperlink" Target="https://guiarsanrafael.com.ar/empresa/atmosfericos-del-sur/" TargetMode="External" Id="rId117" /><Relationship Type="http://schemas.openxmlformats.org/officeDocument/2006/relationships/hyperlink" Target="https://guiarsanrafael.com.ar/empresa/atuel-motos/" TargetMode="External" Id="rId118" /><Relationship Type="http://schemas.openxmlformats.org/officeDocument/2006/relationships/hyperlink" Target="https://guiarsanrafael.com.ar/empresa/atuel-travel/" TargetMode="External" Id="rId119" /><Relationship Type="http://schemas.openxmlformats.org/officeDocument/2006/relationships/hyperlink" Target="https://guiarsanrafael.com.ar/empresa/atermicos-paris/" TargetMode="External" Id="rId120" /><Relationship Type="http://schemas.openxmlformats.org/officeDocument/2006/relationships/hyperlink" Target="https://guiarsanrafael.com.ar/empresa/augusto-e-clausen/" TargetMode="External" Id="rId121" /><Relationship Type="http://schemas.openxmlformats.org/officeDocument/2006/relationships/hyperlink" Target="https://guiarsanrafael.com.ar/empresa/auto-rumbo-s-r-l/" TargetMode="External" Id="rId122" /><Relationship Type="http://schemas.openxmlformats.org/officeDocument/2006/relationships/hyperlink" Target="https://guiarsanrafael.com.ar/empresa/autoled/" TargetMode="External" Id="rId123" /><Relationship Type="http://schemas.openxmlformats.org/officeDocument/2006/relationships/hyperlink" Target="https://guiarsanrafael.com.ar/empresa/autoled-2/" TargetMode="External" Id="rId124" /><Relationship Type="http://schemas.openxmlformats.org/officeDocument/2006/relationships/hyperlink" Target="https://guiarsanrafael.com.ar/empresa/autopartes-alberdi-s-a/" TargetMode="External" Id="rId125" /><Relationship Type="http://schemas.openxmlformats.org/officeDocument/2006/relationships/hyperlink" Target="https://guiarsanrafael.com.ar/empresa/autopartes-politano/" TargetMode="External" Id="rId126" /><Relationship Type="http://schemas.openxmlformats.org/officeDocument/2006/relationships/hyperlink" Target="https://guiarsanrafael.com.ar/empresa/autosur-srl/" TargetMode="External" Id="rId127" /><Relationship Type="http://schemas.openxmlformats.org/officeDocument/2006/relationships/hyperlink" Target="https://guiarsanrafael.com.ar/empresa/auxilio-mecanico/" TargetMode="External" Id="rId128" /><Relationship Type="http://schemas.openxmlformats.org/officeDocument/2006/relationships/hyperlink" Target="https://guiarsanrafael.com.ar/empresa/av-pintura-del-automotor/" TargetMode="External" Id="rId129" /><Relationship Type="http://schemas.openxmlformats.org/officeDocument/2006/relationships/hyperlink" Target="https://guiarsanrafael.com.ar/empresa/ayala-ailin-virginia/" TargetMode="External" Id="rId130" /><Relationship Type="http://schemas.openxmlformats.org/officeDocument/2006/relationships/hyperlink" Target="https://guiarsanrafael.com.ar/empresa/ayala-claudio-omar/" TargetMode="External" Id="rId131" /><Relationship Type="http://schemas.openxmlformats.org/officeDocument/2006/relationships/hyperlink" Target="https://guiarsanrafael.com.ar/empresa/ayala-luis-emmanuel/" TargetMode="External" Id="rId132" /><Relationship Type="http://schemas.openxmlformats.org/officeDocument/2006/relationships/hyperlink" Target="https://guiarsanrafael.com.ar/empresa/ayub-andres-horacio/" TargetMode="External" Id="rId133" /><Relationship Type="http://schemas.openxmlformats.org/officeDocument/2006/relationships/hyperlink" Target="https://guiarsanrafael.com.ar/empresa/ayub-ernesto-carlos-adolfo/" TargetMode="External" Id="rId134" /><Relationship Type="http://schemas.openxmlformats.org/officeDocument/2006/relationships/hyperlink" Target="https://guiarsanrafael.com.ar/empresa/ayub-salomon/" TargetMode="External" Id="rId135" /><Relationship Type="http://schemas.openxmlformats.org/officeDocument/2006/relationships/hyperlink" Target="https://guiarsanrafael.com.ar/empresa/ayum-elun-aldea-de-rio/" TargetMode="External" Id="rId136" /><Relationship Type="http://schemas.openxmlformats.org/officeDocument/2006/relationships/hyperlink" Target="https://guiarsanrafael.com.ar/empresa/baby-land-panalera/" TargetMode="External" Id="rId137" /><Relationship Type="http://schemas.openxmlformats.org/officeDocument/2006/relationships/hyperlink" Target="https://guiarsanrafael.com.ar/empresa/bacos-vinoteca/" TargetMode="External" Id="rId138" /><Relationship Type="http://schemas.openxmlformats.org/officeDocument/2006/relationships/hyperlink" Target="https://guiarsanrafael.com.ar/empresa/badiali-neumaticos/" TargetMode="External" Id="rId139" /><Relationship Type="http://schemas.openxmlformats.org/officeDocument/2006/relationships/hyperlink" Target="https://guiarsanrafael.com.ar/empresa/bahru-enjoy-and-share/" TargetMode="External" Id="rId140" /><Relationship Type="http://schemas.openxmlformats.org/officeDocument/2006/relationships/hyperlink" Target="https://guiarsanrafael.com.ar/empresa/bai-ben-rotiseria/" TargetMode="External" Id="rId141" /><Relationship Type="http://schemas.openxmlformats.org/officeDocument/2006/relationships/hyperlink" Target="https://guiarsanrafael.com.ar/empresa/bait-desarrollos-inmobiliarios/" TargetMode="External" Id="rId142" /><Relationship Type="http://schemas.openxmlformats.org/officeDocument/2006/relationships/hyperlink" Target="https://guiarsanrafael.com.ar/empresa/balloffet-suspension-y-direccion/" TargetMode="External" Id="rId143" /><Relationship Type="http://schemas.openxmlformats.org/officeDocument/2006/relationships/hyperlink" Target="https://guiarsanrafael.com.ar/empresa/baquero-maria-celina/" TargetMode="External" Id="rId144" /><Relationship Type="http://schemas.openxmlformats.org/officeDocument/2006/relationships/hyperlink" Target="https://guiarsanrafael.com.ar/empresa/barba-negra-barberia/" TargetMode="External" Id="rId145" /><Relationship Type="http://schemas.openxmlformats.org/officeDocument/2006/relationships/hyperlink" Target="https://guiarsanrafael.com.ar/empresa/barber-shop/" TargetMode="External" Id="rId146" /><Relationship Type="http://schemas.openxmlformats.org/officeDocument/2006/relationships/hyperlink" Target="https://guiarsanrafael.com.ar/empresa/barberia-argento/" TargetMode="External" Id="rId147" /><Relationship Type="http://schemas.openxmlformats.org/officeDocument/2006/relationships/hyperlink" Target="https://guiarsanrafael.com.ar/empresa/barbod-vinuela-maria-laura/" TargetMode="External" Id="rId148" /><Relationship Type="http://schemas.openxmlformats.org/officeDocument/2006/relationships/hyperlink" Target="https://guiarsanrafael.com.ar/empresa/barchiesi-bombas/" TargetMode="External" Id="rId149" /><Relationship Type="http://schemas.openxmlformats.org/officeDocument/2006/relationships/hyperlink" Target="https://guiarsanrafael.com.ar/empresa/barolo-octavio-paulo/" TargetMode="External" Id="rId150" /><Relationship Type="http://schemas.openxmlformats.org/officeDocument/2006/relationships/hyperlink" Target="https://guiarsanrafael.com.ar/empresa/barrios-asociados-inmobiliaria/" TargetMode="External" Id="rId151" /><Relationship Type="http://schemas.openxmlformats.org/officeDocument/2006/relationships/hyperlink" Target="https://guiarsanrafael.com.ar/empresa/barroso-david-alejandro/" TargetMode="External" Id="rId152" /><Relationship Type="http://schemas.openxmlformats.org/officeDocument/2006/relationships/hyperlink" Target="https://guiarsanrafael.com.ar/empresa/basan-cintia-vanesa/" TargetMode="External" Id="rId153" /><Relationship Type="http://schemas.openxmlformats.org/officeDocument/2006/relationships/hyperlink" Target="https://guiarsanrafael.com.ar/empresa/baterias-aguirre/" TargetMode="External" Id="rId154" /><Relationship Type="http://schemas.openxmlformats.org/officeDocument/2006/relationships/hyperlink" Target="https://guiarsanrafael.com.ar/empresa/baterias-toledano/" TargetMode="External" Id="rId155" /><Relationship Type="http://schemas.openxmlformats.org/officeDocument/2006/relationships/hyperlink" Target="https://guiarsanrafael.com.ar/empresa/baterias-san-rafael/" TargetMode="External" Id="rId156" /><Relationship Type="http://schemas.openxmlformats.org/officeDocument/2006/relationships/hyperlink" Target="https://guiarsanrafael.com.ar/empresa/batuka-alimentos-balanceados/" TargetMode="External" Id="rId157" /><Relationship Type="http://schemas.openxmlformats.org/officeDocument/2006/relationships/hyperlink" Target="https://guiarsanrafael.com.ar/empresa/bay-rodamientos/" TargetMode="External" Id="rId158" /><Relationship Type="http://schemas.openxmlformats.org/officeDocument/2006/relationships/hyperlink" Target="https://guiarsanrafael.com.ar/empresa/bayona-silvia-b/" TargetMode="External" Id="rId159" /><Relationship Type="http://schemas.openxmlformats.org/officeDocument/2006/relationships/hyperlink" Target="https://guiarsanrafael.com.ar/empresa/bayona-silvia-velia/" TargetMode="External" Id="rId160" /><Relationship Type="http://schemas.openxmlformats.org/officeDocument/2006/relationships/hyperlink" Target="https://guiarsanrafael.com.ar/empresa/bazar-la-casa/" TargetMode="External" Id="rId161" /><Relationship Type="http://schemas.openxmlformats.org/officeDocument/2006/relationships/hyperlink" Target="https://guiarsanrafael.com.ar/empresa/bazar-mayor/" TargetMode="External" Id="rId162" /><Relationship Type="http://schemas.openxmlformats.org/officeDocument/2006/relationships/hyperlink" Target="https://guiarsanrafael.com.ar/empresa/bazzar-mayor/" TargetMode="External" Id="rId163" /><Relationship Type="http://schemas.openxmlformats.org/officeDocument/2006/relationships/hyperlink" Target="https://guiarsanrafael.com.ar/empresa/bc-tapas-especiales/" TargetMode="External" Id="rId164" /><Relationship Type="http://schemas.openxmlformats.org/officeDocument/2006/relationships/hyperlink" Target="https://guiarsanrafael.com.ar/empresa/belen-del-pilar-santiago/" TargetMode="External" Id="rId165" /><Relationship Type="http://schemas.openxmlformats.org/officeDocument/2006/relationships/hyperlink" Target="https://guiarsanrafael.com.ar/empresa/belen-panaderia-y-confiteria/" TargetMode="External" Id="rId166" /><Relationship Type="http://schemas.openxmlformats.org/officeDocument/2006/relationships/hyperlink" Target="https://guiarsanrafael.com.ar/empresa/belgrano-repuestos/" TargetMode="External" Id="rId167" /><Relationship Type="http://schemas.openxmlformats.org/officeDocument/2006/relationships/hyperlink" Target="https://guiarsanrafael.com.ar/empresa/belen-lucero-lady-barber/" TargetMode="External" Id="rId168" /><Relationship Type="http://schemas.openxmlformats.org/officeDocument/2006/relationships/hyperlink" Target="https://guiarsanrafael.com.ar/empresa/benelli-frascaroli-bikes/" TargetMode="External" Id="rId169" /><Relationship Type="http://schemas.openxmlformats.org/officeDocument/2006/relationships/hyperlink" Target="https://guiarsanrafael.com.ar/empresa/bermejo-capuj-maria-alejandra/" TargetMode="External" Id="rId170" /><Relationship Type="http://schemas.openxmlformats.org/officeDocument/2006/relationships/hyperlink" Target="https://guiarsanrafael.com.ar/empresa/bermudez-repuestos/" TargetMode="External" Id="rId171" /><Relationship Type="http://schemas.openxmlformats.org/officeDocument/2006/relationships/hyperlink" Target="https://guiarsanrafael.com.ar/empresa/bernardi-servicio-de-frenos/" TargetMode="External" Id="rId172" /><Relationship Type="http://schemas.openxmlformats.org/officeDocument/2006/relationships/hyperlink" Target="https://guiarsanrafael.com.ar/empresa/bernardo-sumaran/" TargetMode="External" Id="rId173" /><Relationship Type="http://schemas.openxmlformats.org/officeDocument/2006/relationships/hyperlink" Target="https://guiarsanrafael.com.ar/empresa/bernuesmaria-florencia/" TargetMode="External" Id="rId174" /><Relationship Type="http://schemas.openxmlformats.org/officeDocument/2006/relationships/hyperlink" Target="https://guiarsanrafael.com.ar/empresa/berta-despensa-de-vinos/" TargetMode="External" Id="rId175" /><Relationship Type="http://schemas.openxmlformats.org/officeDocument/2006/relationships/hyperlink" Target="https://guiarsanrafael.com.ar/empresa/bertero-veronica-mariel/" TargetMode="External" Id="rId176" /><Relationship Type="http://schemas.openxmlformats.org/officeDocument/2006/relationships/hyperlink" Target="https://guiarsanrafael.com.ar/empresa/betiana-sanchez/" TargetMode="External" Id="rId177" /><Relationship Type="http://schemas.openxmlformats.org/officeDocument/2006/relationships/hyperlink" Target="https://guiarsanrafael.com.ar/empresa/beto-repuestos/" TargetMode="External" Id="rId178" /><Relationship Type="http://schemas.openxmlformats.org/officeDocument/2006/relationships/hyperlink" Target="https://guiarsanrafael.com.ar/empresa/biagini-mariela-adriana/" TargetMode="External" Id="rId179" /><Relationship Type="http://schemas.openxmlformats.org/officeDocument/2006/relationships/hyperlink" Target="https://guiarsanrafael.com.ar/empresa/bicimania-tienda-de-bicicletas/" TargetMode="External" Id="rId180" /><Relationship Type="http://schemas.openxmlformats.org/officeDocument/2006/relationships/hyperlink" Target="https://guiarsanrafael.com.ar/empresa/bielli-maria-fernada/" TargetMode="External" Id="rId181" /><Relationship Type="http://schemas.openxmlformats.org/officeDocument/2006/relationships/hyperlink" Target="https://guiarsanrafael.com.ar/empresa/biero-draft-beer/" TargetMode="External" Id="rId182" /><Relationship Type="http://schemas.openxmlformats.org/officeDocument/2006/relationships/hyperlink" Target="https://guiarsanrafael.com.ar/empresa/big-bon/" TargetMode="External" Id="rId183" /><Relationship Type="http://schemas.openxmlformats.org/officeDocument/2006/relationships/hyperlink" Target="https://guiarsanrafael.com.ar/empresa/big-cell-servicio-telefonia/" TargetMode="External" Id="rId184" /><Relationship Type="http://schemas.openxmlformats.org/officeDocument/2006/relationships/hyperlink" Target="https://guiarsanrafael.com.ar/empresa/big-oil-lubricantes/" TargetMode="External" Id="rId185" /><Relationship Type="http://schemas.openxmlformats.org/officeDocument/2006/relationships/hyperlink" Target="https://guiarsanrafael.com.ar/empresa/9663/" TargetMode="External" Id="rId186" /><Relationship Type="http://schemas.openxmlformats.org/officeDocument/2006/relationships/hyperlink" Target="https://guiarsanrafael.com.ar/empresa/bio-analisis-laboratorio/" TargetMode="External" Id="rId187" /><Relationship Type="http://schemas.openxmlformats.org/officeDocument/2006/relationships/hyperlink" Target="https://guiarsanrafael.com.ar/empresa/biocentro-de-salud/" TargetMode="External" Id="rId188" /><Relationship Type="http://schemas.openxmlformats.org/officeDocument/2006/relationships/hyperlink" Target="https://guiarsanrafael.com.ar/empresa/biomed-centro-bioquimico-y-medico/" TargetMode="External" Id="rId189" /><Relationship Type="http://schemas.openxmlformats.org/officeDocument/2006/relationships/hyperlink" Target="https://guiarsanrafael.com.ar/empresa/bisceglia-bernardo-a/" TargetMode="External" Id="rId190" /><Relationship Type="http://schemas.openxmlformats.org/officeDocument/2006/relationships/hyperlink" Target="https://guiarsanrafael.com.ar/empresa/blasco-daniela-guadalupe/" TargetMode="External" Id="rId191" /><Relationship Type="http://schemas.openxmlformats.org/officeDocument/2006/relationships/hyperlink" Target="https://guiarsanrafael.com.ar/empresa/blaxon-steak-house-bar/" TargetMode="External" Id="rId192" /><Relationship Type="http://schemas.openxmlformats.org/officeDocument/2006/relationships/hyperlink" Target="https://guiarsanrafael.com.ar/empresa/blend-espacios-verdes/" TargetMode="External" Id="rId193" /><Relationship Type="http://schemas.openxmlformats.org/officeDocument/2006/relationships/hyperlink" Target="https://guiarsanrafael.com.ar/empresa/bo-estudio-creativo/" TargetMode="External" Id="rId194" /><Relationship Type="http://schemas.openxmlformats.org/officeDocument/2006/relationships/hyperlink" Target="https://guiarsanrafael.com.ar/empresa/bodega-1920/" TargetMode="External" Id="rId195" /><Relationship Type="http://schemas.openxmlformats.org/officeDocument/2006/relationships/hyperlink" Target="https://guiarsanrafael.com.ar/empresa/bodega-bombal-y-aldao/" TargetMode="External" Id="rId196" /><Relationship Type="http://schemas.openxmlformats.org/officeDocument/2006/relationships/hyperlink" Target="https://guiarsanrafael.com.ar/empresa/bodega-boutique-ibarra/" TargetMode="External" Id="rId197" /><Relationship Type="http://schemas.openxmlformats.org/officeDocument/2006/relationships/hyperlink" Target="https://guiarsanrafael.com.ar/empresa/bodega-finca-cuadro-benegas/" TargetMode="External" Id="rId198" /><Relationship Type="http://schemas.openxmlformats.org/officeDocument/2006/relationships/hyperlink" Target="https://guiarsanrafael.com.ar/empresa/bodega-finca-el-nevado/" TargetMode="External" Id="rId199" /><Relationship Type="http://schemas.openxmlformats.org/officeDocument/2006/relationships/hyperlink" Target="https://guiarsanrafael.com.ar/empresa/bodega-goyenechea/" TargetMode="External" Id="rId200" /><Relationship Type="http://schemas.openxmlformats.org/officeDocument/2006/relationships/hyperlink" Target="https://guiarsanrafael.com.ar/empresa/bodega-la-vendimia-saicf/" TargetMode="External" Id="rId201" /><Relationship Type="http://schemas.openxmlformats.org/officeDocument/2006/relationships/hyperlink" Target="https://guiarsanrafael.com.ar/empresa/bodega-labiano/" TargetMode="External" Id="rId202" /><Relationship Type="http://schemas.openxmlformats.org/officeDocument/2006/relationships/hyperlink" Target="https://guiarsanrafael.com.ar/empresa/bodega-mumm/" TargetMode="External" Id="rId203" /><Relationship Type="http://schemas.openxmlformats.org/officeDocument/2006/relationships/hyperlink" Target="https://guiarsanrafael.com.ar/empresa/bodega-terra-lombarda/" TargetMode="External" Id="rId204" /><Relationship Type="http://schemas.openxmlformats.org/officeDocument/2006/relationships/hyperlink" Target="https://guiarsanrafael.com.ar/empresa/bodega-tornaghi/" TargetMode="External" Id="rId205" /><Relationship Type="http://schemas.openxmlformats.org/officeDocument/2006/relationships/hyperlink" Target="https://guiarsanrafael.com.ar/empresa/bodegas-bianchi/" TargetMode="External" Id="rId206" /><Relationship Type="http://schemas.openxmlformats.org/officeDocument/2006/relationships/hyperlink" Target="https://guiarsanrafael.com.ar/empresa/bodegas-giaroli/" TargetMode="External" Id="rId207" /><Relationship Type="http://schemas.openxmlformats.org/officeDocument/2006/relationships/hyperlink" Target="https://guiarsanrafael.com.ar/empresa/bogoni-natalia-ariadna/" TargetMode="External" Id="rId208" /><Relationship Type="http://schemas.openxmlformats.org/officeDocument/2006/relationships/hyperlink" Target="https://guiarsanrafael.com.ar/empresa/bon-jour-panaderia/" TargetMode="External" Id="rId209" /><Relationship Type="http://schemas.openxmlformats.org/officeDocument/2006/relationships/hyperlink" Target="https://guiarsanrafael.com.ar/empresa/bonino-natalia/" TargetMode="External" Id="rId210" /><Relationship Type="http://schemas.openxmlformats.org/officeDocument/2006/relationships/hyperlink" Target="https://guiarsanrafael.com.ar/empresa/brenda-angriman/" TargetMode="External" Id="rId211" /><Relationship Type="http://schemas.openxmlformats.org/officeDocument/2006/relationships/hyperlink" Target="https://guiarsanrafael.com.ar/empresa/brenda-veron/" TargetMode="External" Id="rId212" /><Relationship Type="http://schemas.openxmlformats.org/officeDocument/2006/relationships/hyperlink" Target="https://guiarsanrafael.com.ar/empresa/bressan-gutierrez-juan-ignacio/" TargetMode="External" Id="rId213" /><Relationship Type="http://schemas.openxmlformats.org/officeDocument/2006/relationships/hyperlink" Target="https://guiarsanrafael.com.ar/empresa/bressan-pablo-enrique/" TargetMode="External" Id="rId214" /><Relationship Type="http://schemas.openxmlformats.org/officeDocument/2006/relationships/hyperlink" Target="https://guiarsanrafael.com.ar/empresa/bressan-silvina/" TargetMode="External" Id="rId215" /><Relationship Type="http://schemas.openxmlformats.org/officeDocument/2006/relationships/hyperlink" Target="https://guiarsanrafael.com.ar/empresa/brilla-el-lugar-de-tu-evento/" TargetMode="External" Id="rId216" /><Relationship Type="http://schemas.openxmlformats.org/officeDocument/2006/relationships/hyperlink" Target="https://guiarsanrafael.com.ar/empresa/bros-adn-burguer/" TargetMode="External" Id="rId217" /><Relationship Type="http://schemas.openxmlformats.org/officeDocument/2006/relationships/hyperlink" Target="https://guiarsanrafael.com.ar/empresa/bruni-aventura/" TargetMode="External" Id="rId218" /><Relationship Type="http://schemas.openxmlformats.org/officeDocument/2006/relationships/hyperlink" Target="https://guiarsanrafael.com.ar/empresa/bruno-borovina/" TargetMode="External" Id="rId219" /><Relationship Type="http://schemas.openxmlformats.org/officeDocument/2006/relationships/hyperlink" Target="https://guiarsanrafael.com.ar/empresa/bruno-piastrellini/" TargetMode="External" Id="rId220" /><Relationship Type="http://schemas.openxmlformats.org/officeDocument/2006/relationships/hyperlink" Target="https://guiarsanrafael.com.ar/empresa/buena-vida/" TargetMode="External" Id="rId221" /><Relationship Type="http://schemas.openxmlformats.org/officeDocument/2006/relationships/hyperlink" Target="https://guiarsanrafael.com.ar/empresa/buenas-maderas-amoblamientos/" TargetMode="External" Id="rId222" /><Relationship Type="http://schemas.openxmlformats.org/officeDocument/2006/relationships/hyperlink" Target="https://guiarsanrafael.com.ar/empresa/bulones-sarmiento/" TargetMode="External" Id="rId223" /><Relationship Type="http://schemas.openxmlformats.org/officeDocument/2006/relationships/hyperlink" Target="https://guiarsanrafael.com.ar/empresa/bulos-judit/" TargetMode="External" Id="rId224" /><Relationship Type="http://schemas.openxmlformats.org/officeDocument/2006/relationships/hyperlink" Target="https://guiarsanrafael.com.ar/empresa/15214/" TargetMode="External" Id="rId225" /><Relationship Type="http://schemas.openxmlformats.org/officeDocument/2006/relationships/hyperlink" Target="https://guiarsanrafael.com.ar/empresa/buscemi-martin-j/" TargetMode="External" Id="rId226" /><Relationship Type="http://schemas.openxmlformats.org/officeDocument/2006/relationships/hyperlink" Target="https://guiarsanrafael.com.ar/empresa/bustos-clarisa-noemi/" TargetMode="External" Id="rId227" /><Relationship Type="http://schemas.openxmlformats.org/officeDocument/2006/relationships/hyperlink" Target="https://guiarsanrafael.com.ar/empresa/buxo-muebles/" TargetMode="External" Id="rId228" /><Relationship Type="http://schemas.openxmlformats.org/officeDocument/2006/relationships/hyperlink" Target="https://guiarsanrafael.com.ar/empresa/c-y-m-construcciones-y-montajes/" TargetMode="External" Id="rId229" /><Relationship Type="http://schemas.openxmlformats.org/officeDocument/2006/relationships/hyperlink" Target="https://guiarsanrafael.com.ar/empresa/c-e-n-centro-de-estimulacion-neurocognitiva/" TargetMode="External" Id="rId230" /><Relationship Type="http://schemas.openxmlformats.org/officeDocument/2006/relationships/hyperlink" Target="https://guiarsanrafael.com.ar/empresa/cabanas-altos-del-toledano/" TargetMode="External" Id="rId231" /><Relationship Type="http://schemas.openxmlformats.org/officeDocument/2006/relationships/hyperlink" Target="https://guiarsanrafael.com.ar/empresa/cabanas-calderon/" TargetMode="External" Id="rId232" /><Relationship Type="http://schemas.openxmlformats.org/officeDocument/2006/relationships/hyperlink" Target="https://guiarsanrafael.com.ar/empresa/cabanas-canaan/" TargetMode="External" Id="rId233" /><Relationship Type="http://schemas.openxmlformats.org/officeDocument/2006/relationships/hyperlink" Target="https://guiarsanrafael.com.ar/empresa/cabanas-caru-leufu/" TargetMode="External" Id="rId234" /><Relationship Type="http://schemas.openxmlformats.org/officeDocument/2006/relationships/hyperlink" Target="https://guiarsanrafael.com.ar/empresa/cabanas-cerro-encantado/" TargetMode="External" Id="rId235" /><Relationship Type="http://schemas.openxmlformats.org/officeDocument/2006/relationships/hyperlink" Target="https://guiarsanrafael.com.ar/empresa/cabanas-don-nino/" TargetMode="External" Id="rId236" /><Relationship Type="http://schemas.openxmlformats.org/officeDocument/2006/relationships/hyperlink" Target="https://guiarsanrafael.com.ar/empresa/cabanas-el-alamo-blanco/" TargetMode="External" Id="rId237" /><Relationship Type="http://schemas.openxmlformats.org/officeDocument/2006/relationships/hyperlink" Target="https://guiarsanrafael.com.ar/empresa/cabanas-el-valle-2/" TargetMode="External" Id="rId238" /><Relationship Type="http://schemas.openxmlformats.org/officeDocument/2006/relationships/hyperlink" Target="https://guiarsanrafael.com.ar/empresa/cabanas-rio-sonado/" TargetMode="External" Id="rId239" /><Relationship Type="http://schemas.openxmlformats.org/officeDocument/2006/relationships/hyperlink" Target="https://guiarsanrafael.com.ar/empresa/cabanas-tierra-virgen/" TargetMode="External" Id="rId240" /><Relationship Type="http://schemas.openxmlformats.org/officeDocument/2006/relationships/hyperlink" Target="https://guiarsanrafael.com.ar/empresa/cabanas-villa-de-lujan-2/" TargetMode="External" Id="rId241" /><Relationship Type="http://schemas.openxmlformats.org/officeDocument/2006/relationships/hyperlink" Target="https://guiarsanrafael.com.ar/empresa/cabanas-villa-de-lujan/" TargetMode="External" Id="rId242" /><Relationship Type="http://schemas.openxmlformats.org/officeDocument/2006/relationships/hyperlink" Target="https://guiarsanrafael.com.ar/empresa/cabanas-el-valle/" TargetMode="External" Id="rId243" /><Relationship Type="http://schemas.openxmlformats.org/officeDocument/2006/relationships/hyperlink" Target="https://guiarsanrafael.com.ar/empresa/cabral-daniela/" TargetMode="External" Id="rId244" /><Relationship Type="http://schemas.openxmlformats.org/officeDocument/2006/relationships/hyperlink" Target="https://guiarsanrafael.com.ar/empresa/cabrera-silvia-c/" TargetMode="External" Id="rId245" /><Relationship Type="http://schemas.openxmlformats.org/officeDocument/2006/relationships/hyperlink" Target="https://guiarsanrafael.com.ar/empresa/caf-constructora/" TargetMode="External" Id="rId246" /><Relationship Type="http://schemas.openxmlformats.org/officeDocument/2006/relationships/hyperlink" Target="https://guiarsanrafael.com.ar/empresa/calma-s-a-medicina-laboral/" TargetMode="External" Id="rId247" /><Relationship Type="http://schemas.openxmlformats.org/officeDocument/2006/relationships/hyperlink" Target="https://guiarsanrafael.com.ar/empresa/camargoandrea-e/" TargetMode="External" Id="rId248" /><Relationship Type="http://schemas.openxmlformats.org/officeDocument/2006/relationships/hyperlink" Target="https://guiarsanrafael.com.ar/empresa/camerucci-maria-paola/" TargetMode="External" Id="rId249" /><Relationship Type="http://schemas.openxmlformats.org/officeDocument/2006/relationships/hyperlink" Target="https://guiarsanrafael.com.ar/empresa/cameruccio-motos/" TargetMode="External" Id="rId250" /><Relationship Type="http://schemas.openxmlformats.org/officeDocument/2006/relationships/hyperlink" Target="https://guiarsanrafael.com.ar/empresa/camila-diaz-estilista/" TargetMode="External" Id="rId251" /><Relationship Type="http://schemas.openxmlformats.org/officeDocument/2006/relationships/hyperlink" Target="https://guiarsanrafael.com.ar/empresa/camila-pla/" TargetMode="External" Id="rId252" /><Relationship Type="http://schemas.openxmlformats.org/officeDocument/2006/relationships/hyperlink" Target="https://guiarsanrafael.com.ar/empresa/camila-quintano/" TargetMode="External" Id="rId253" /><Relationship Type="http://schemas.openxmlformats.org/officeDocument/2006/relationships/hyperlink" Target="https://guiarsanrafael.com.ar/empresa/camilettimarcos-gabriel/" TargetMode="External" Id="rId254" /><Relationship Type="http://schemas.openxmlformats.org/officeDocument/2006/relationships/hyperlink" Target="https://guiarsanrafael.com.ar/empresa/camiletti-s-a-constructora/" TargetMode="External" Id="rId255" /><Relationship Type="http://schemas.openxmlformats.org/officeDocument/2006/relationships/hyperlink" Target="https://guiarsanrafael.com.ar/empresa/camilletti-mariano/" TargetMode="External" Id="rId256" /><Relationship Type="http://schemas.openxmlformats.org/officeDocument/2006/relationships/hyperlink" Target="https://guiarsanrafael.com.ar/empresa/canestrari-maria-cristina/" TargetMode="External" Id="rId257" /><Relationship Type="http://schemas.openxmlformats.org/officeDocument/2006/relationships/hyperlink" Target="https://guiarsanrafael.com.ar/empresa/cantina-a-gogo/" TargetMode="External" Id="rId258" /><Relationship Type="http://schemas.openxmlformats.org/officeDocument/2006/relationships/hyperlink" Target="https://guiarsanrafael.com.ar/empresa/caparrosjuan-mauricio/" TargetMode="External" Id="rId259" /><Relationship Type="http://schemas.openxmlformats.org/officeDocument/2006/relationships/hyperlink" Target="https://guiarsanrafael.com.ar/empresa/carabajalmarcos-joel/" TargetMode="External" Id="rId260" /><Relationship Type="http://schemas.openxmlformats.org/officeDocument/2006/relationships/hyperlink" Target="https://guiarsanrafael.com.ar/empresa/carallol-melisa-c/" TargetMode="External" Id="rId261" /><Relationship Type="http://schemas.openxmlformats.org/officeDocument/2006/relationships/hyperlink" Target="https://guiarsanrafael.com.ar/empresa/carallos-valeria/" TargetMode="External" Id="rId262" /><Relationship Type="http://schemas.openxmlformats.org/officeDocument/2006/relationships/hyperlink" Target="https://guiarsanrafael.com.ar/empresa/carbajal-andres/" TargetMode="External" Id="rId263" /><Relationship Type="http://schemas.openxmlformats.org/officeDocument/2006/relationships/hyperlink" Target="https://guiarsanrafael.com.ar/empresa/cardio-nova-instituto-cardiologico/" TargetMode="External" Id="rId264" /><Relationship Type="http://schemas.openxmlformats.org/officeDocument/2006/relationships/hyperlink" Target="https://guiarsanrafael.com.ar/empresa/carina-farina/" TargetMode="External" Id="rId265" /><Relationship Type="http://schemas.openxmlformats.org/officeDocument/2006/relationships/hyperlink" Target="https://guiarsanrafael.com.ar/empresa/carina-fornes/" TargetMode="External" Id="rId266" /><Relationship Type="http://schemas.openxmlformats.org/officeDocument/2006/relationships/hyperlink" Target="https://guiarsanrafael.com.ar/empresa/carla-romina-lamolla/" TargetMode="External" Id="rId267" /><Relationship Type="http://schemas.openxmlformats.org/officeDocument/2006/relationships/hyperlink" Target="https://guiarsanrafael.com.ar/empresa/carlevaris-leandro/" TargetMode="External" Id="rId268" /><Relationship Type="http://schemas.openxmlformats.org/officeDocument/2006/relationships/hyperlink" Target="https://guiarsanrafael.com.ar/empresa/carlos-a-mussa/" TargetMode="External" Id="rId269" /><Relationship Type="http://schemas.openxmlformats.org/officeDocument/2006/relationships/hyperlink" Target="https://guiarsanrafael.com.ar/empresa/carlos-ganan-de-pelo/" TargetMode="External" Id="rId270" /><Relationship Type="http://schemas.openxmlformats.org/officeDocument/2006/relationships/hyperlink" Target="https://guiarsanrafael.com.ar/empresa/carlos-javier-leiton/" TargetMode="External" Id="rId271" /><Relationship Type="http://schemas.openxmlformats.org/officeDocument/2006/relationships/hyperlink" Target="https://guiarsanrafael.com.ar/empresa/carlos-martinez/" TargetMode="External" Id="rId272" /><Relationship Type="http://schemas.openxmlformats.org/officeDocument/2006/relationships/hyperlink" Target="https://guiarsanrafael.com.ar/empresa/carlos-parra-c-w-lencinas-20-2-piso-2604-632650/" TargetMode="External" Id="rId273" /><Relationship Type="http://schemas.openxmlformats.org/officeDocument/2006/relationships/hyperlink" Target="https://guiarsanrafael.com.ar/empresa/carlos-sanz/" TargetMode="External" Id="rId274" /><Relationship Type="http://schemas.openxmlformats.org/officeDocument/2006/relationships/hyperlink" Target="https://guiarsanrafael.com.ar/empresa/carniceria-el-ave-fenix/" TargetMode="External" Id="rId275" /><Relationship Type="http://schemas.openxmlformats.org/officeDocument/2006/relationships/hyperlink" Target="https://guiarsanrafael.com.ar/empresa/carniceria-gustavo/" TargetMode="External" Id="rId276" /><Relationship Type="http://schemas.openxmlformats.org/officeDocument/2006/relationships/hyperlink" Target="https://guiarsanrafael.com.ar/empresa/carniceria-rivadavia/" TargetMode="External" Id="rId277" /><Relationship Type="http://schemas.openxmlformats.org/officeDocument/2006/relationships/hyperlink" Target="https://guiarsanrafael.com.ar/empresa/carola-giglio/" TargetMode="External" Id="rId278" /><Relationship Type="http://schemas.openxmlformats.org/officeDocument/2006/relationships/hyperlink" Target="https://guiarsanrafael.com.ar/empresa/carola-rocio-lujan/" TargetMode="External" Id="rId279" /><Relationship Type="http://schemas.openxmlformats.org/officeDocument/2006/relationships/hyperlink" Target="https://guiarsanrafael.com.ar/empresa/carolina-aldave-2/" TargetMode="External" Id="rId280" /><Relationship Type="http://schemas.openxmlformats.org/officeDocument/2006/relationships/hyperlink" Target="https://guiarsanrafael.com.ar/empresa/carolina-aldave/" TargetMode="External" Id="rId281" /><Relationship Type="http://schemas.openxmlformats.org/officeDocument/2006/relationships/hyperlink" Target="https://guiarsanrafael.com.ar/empresa/carolina-chain/" TargetMode="External" Id="rId282" /><Relationship Type="http://schemas.openxmlformats.org/officeDocument/2006/relationships/hyperlink" Target="https://guiarsanrafael.com.ar/empresa/carolina-fernandez/" TargetMode="External" Id="rId283" /><Relationship Type="http://schemas.openxmlformats.org/officeDocument/2006/relationships/hyperlink" Target="https://guiarsanrafael.com.ar/empresa/carolina-gullotta/" TargetMode="External" Id="rId284" /><Relationship Type="http://schemas.openxmlformats.org/officeDocument/2006/relationships/hyperlink" Target="https://guiarsanrafael.com.ar/empresa/carolina-martinelli/" TargetMode="External" Id="rId285" /><Relationship Type="http://schemas.openxmlformats.org/officeDocument/2006/relationships/hyperlink" Target="https://guiarsanrafael.com.ar/empresa/carpio-mariana-c/" TargetMode="External" Id="rId286" /><Relationship Type="http://schemas.openxmlformats.org/officeDocument/2006/relationships/hyperlink" Target="https://guiarsanrafael.com.ar/empresa/carretero-maria-belen/" TargetMode="External" Id="rId287" /><Relationship Type="http://schemas.openxmlformats.org/officeDocument/2006/relationships/hyperlink" Target="https://guiarsanrafael.com.ar/empresa/casa-allegra-cotillon/" TargetMode="External" Id="rId288" /><Relationship Type="http://schemas.openxmlformats.org/officeDocument/2006/relationships/hyperlink" Target="https://guiarsanrafael.com.ar/empresa/casa-de-la-limpieza/" TargetMode="External" Id="rId289" /><Relationship Type="http://schemas.openxmlformats.org/officeDocument/2006/relationships/hyperlink" Target="https://guiarsanrafael.com.ar/empresa/casa-jose-chiabrando/" TargetMode="External" Id="rId290" /><Relationship Type="http://schemas.openxmlformats.org/officeDocument/2006/relationships/hyperlink" Target="https://guiarsanrafael.com.ar/empresa/casa-natural/" TargetMode="External" Id="rId291" /><Relationship Type="http://schemas.openxmlformats.org/officeDocument/2006/relationships/hyperlink" Target="https://guiarsanrafael.com.ar/empresa/casa-ortiz-descartables/" TargetMode="External" Id="rId292" /><Relationship Type="http://schemas.openxmlformats.org/officeDocument/2006/relationships/hyperlink" Target="https://guiarsanrafael.com.ar/empresa/casa-ruimol/" TargetMode="External" Id="rId293" /><Relationship Type="http://schemas.openxmlformats.org/officeDocument/2006/relationships/hyperlink" Target="https://guiarsanrafael.com.ar/empresa/casa-tres-cortinas-y-toldos/" TargetMode="External" Id="rId294" /><Relationship Type="http://schemas.openxmlformats.org/officeDocument/2006/relationships/hyperlink" Target="https://guiarsanrafael.com.ar/empresa/casado-maria-belen/" TargetMode="External" Id="rId295" /><Relationship Type="http://schemas.openxmlformats.org/officeDocument/2006/relationships/hyperlink" Target="https://guiarsanrafael.com.ar/empresa/casas-navarroluciana-selene/" TargetMode="External" Id="rId296" /><Relationship Type="http://schemas.openxmlformats.org/officeDocument/2006/relationships/hyperlink" Target="https://guiarsanrafael.com.ar/empresa/casasur/" TargetMode="External" Id="rId297" /><Relationship Type="http://schemas.openxmlformats.org/officeDocument/2006/relationships/hyperlink" Target="https://guiarsanrafael.com.ar/empresa/castano-ana-carolina-del-carmen/" TargetMode="External" Id="rId298" /><Relationship Type="http://schemas.openxmlformats.org/officeDocument/2006/relationships/hyperlink" Target="https://guiarsanrafael.com.ar/empresa/castano-pablo-marcelo/" TargetMode="External" Id="rId299" /><Relationship Type="http://schemas.openxmlformats.org/officeDocument/2006/relationships/hyperlink" Target="https://guiarsanrafael.com.ar/empresa/castilla-luis-francisco/" TargetMode="External" Id="rId300" /><Relationship Type="http://schemas.openxmlformats.org/officeDocument/2006/relationships/hyperlink" Target="https://guiarsanrafael.com.ar/empresa/cana-colihue-muebles/" TargetMode="External" Id="rId301" /><Relationship Type="http://schemas.openxmlformats.org/officeDocument/2006/relationships/hyperlink" Target="https://guiarsanrafael.com.ar/empresa/cecilia-arredondo/" TargetMode="External" Id="rId302" /><Relationship Type="http://schemas.openxmlformats.org/officeDocument/2006/relationships/hyperlink" Target="https://guiarsanrafael.com.ar/empresa/cecilia-garcia/" TargetMode="External" Id="rId303" /><Relationship Type="http://schemas.openxmlformats.org/officeDocument/2006/relationships/hyperlink" Target="https://guiarsanrafael.com.ar/empresa/cecilia-martin/" TargetMode="External" Id="rId304" /><Relationship Type="http://schemas.openxmlformats.org/officeDocument/2006/relationships/hyperlink" Target="https://guiarsanrafael.com.ar/empresa/cecilia-maya/" TargetMode="External" Id="rId305" /><Relationship Type="http://schemas.openxmlformats.org/officeDocument/2006/relationships/hyperlink" Target="https://guiarsanrafael.com.ar/empresa/cecilia-maya-2/" TargetMode="External" Id="rId306" /><Relationship Type="http://schemas.openxmlformats.org/officeDocument/2006/relationships/hyperlink" Target="https://guiarsanrafael.com.ar/empresa/cel-fii-tecnologia/" TargetMode="External" Id="rId307" /><Relationship Type="http://schemas.openxmlformats.org/officeDocument/2006/relationships/hyperlink" Target="https://guiarsanrafael.com.ar/empresa/celeste-parra/" TargetMode="External" Id="rId308" /><Relationship Type="http://schemas.openxmlformats.org/officeDocument/2006/relationships/hyperlink" Target="https://guiarsanrafael.com.ar/empresa/celfer-celulares-y-tablets/" TargetMode="External" Id="rId309" /><Relationship Type="http://schemas.openxmlformats.org/officeDocument/2006/relationships/hyperlink" Target="https://guiarsanrafael.com.ar/empresa/hermosa-cecilio/" TargetMode="External" Id="rId310" /><Relationship Type="http://schemas.openxmlformats.org/officeDocument/2006/relationships/hyperlink" Target="https://guiarsanrafael.com.ar/empresa/celulares-nico/" TargetMode="External" Id="rId311" /><Relationship Type="http://schemas.openxmlformats.org/officeDocument/2006/relationships/hyperlink" Target="https://guiarsanrafael.com.ar/empresa/celulares-san-rafael-2/" TargetMode="External" Id="rId312" /><Relationship Type="http://schemas.openxmlformats.org/officeDocument/2006/relationships/hyperlink" Target="https://guiarsanrafael.com.ar/empresa/celulares-san-rafael/" TargetMode="External" Id="rId313" /><Relationship Type="http://schemas.openxmlformats.org/officeDocument/2006/relationships/hyperlink" Target="https://guiarsanrafael.com.ar/empresa/celulares-san-rafael-3/" TargetMode="External" Id="rId314" /><Relationship Type="http://schemas.openxmlformats.org/officeDocument/2006/relationships/hyperlink" Target="https://guiarsanrafael.com.ar/empresa/cemel-centro-medico-laboral/" TargetMode="External" Id="rId315" /><Relationship Type="http://schemas.openxmlformats.org/officeDocument/2006/relationships/hyperlink" Target="https://guiarsanrafael.com.ar/empresa/ceneca-centro-terapeutico/" TargetMode="External" Id="rId316" /><Relationship Type="http://schemas.openxmlformats.org/officeDocument/2006/relationships/hyperlink" Target="https://guiarsanrafael.com.ar/empresa/centro-de-la-limpieza/" TargetMode="External" Id="rId317" /><Relationship Type="http://schemas.openxmlformats.org/officeDocument/2006/relationships/hyperlink" Target="https://guiarsanrafael.com.ar/empresa/centro-de-la-limpieza-alberdi-pichincha-885/" TargetMode="External" Id="rId318" /><Relationship Type="http://schemas.openxmlformats.org/officeDocument/2006/relationships/hyperlink" Target="https://guiarsanrafael.com.ar/empresa/centro-del-diagnostico/" TargetMode="External" Id="rId319" /><Relationship Type="http://schemas.openxmlformats.org/officeDocument/2006/relationships/hyperlink" Target="https://guiarsanrafael.com.ar/empresa/cepa-centro-patologico/" TargetMode="External" Id="rId320" /><Relationship Type="http://schemas.openxmlformats.org/officeDocument/2006/relationships/hyperlink" Target="https://guiarsanrafael.com.ar/empresa/ceramicas-san-rafael/" TargetMode="External" Id="rId321" /><Relationship Type="http://schemas.openxmlformats.org/officeDocument/2006/relationships/hyperlink" Target="https://guiarsanrafael.com.ar/empresa/ceramicasa-san-rafael/" TargetMode="External" Id="rId322" /><Relationship Type="http://schemas.openxmlformats.org/officeDocument/2006/relationships/hyperlink" Target="https://guiarsanrafael.com.ar/empresa/cerenart-centro-de-rehabilitacion/" TargetMode="External" Id="rId323" /><Relationship Type="http://schemas.openxmlformats.org/officeDocument/2006/relationships/hyperlink" Target="https://guiarsanrafael.com.ar/empresa/cerrajeria-la-llave/" TargetMode="External" Id="rId324" /><Relationship Type="http://schemas.openxmlformats.org/officeDocument/2006/relationships/hyperlink" Target="https://guiarsanrafael.com.ar/empresa/cerrajeria-mitre/" TargetMode="External" Id="rId325" /><Relationship Type="http://schemas.openxmlformats.org/officeDocument/2006/relationships/hyperlink" Target="https://guiarsanrafael.com.ar/empresa/cerrajeria-agustin/" TargetMode="External" Id="rId326" /><Relationship Type="http://schemas.openxmlformats.org/officeDocument/2006/relationships/hyperlink" Target="https://guiarsanrafael.com.ar/empresa/cerrajeria-guajardo/" TargetMode="External" Id="rId327" /><Relationship Type="http://schemas.openxmlformats.org/officeDocument/2006/relationships/hyperlink" Target="https://guiarsanrafael.com.ar/empresa/cerro-nevado-automotores/" TargetMode="External" Id="rId328" /><Relationship Type="http://schemas.openxmlformats.org/officeDocument/2006/relationships/hyperlink" Target="https://guiarsanrafael.com.ar/empresa/cerutti-norma-beatriz/" TargetMode="External" Id="rId329" /><Relationship Type="http://schemas.openxmlformats.org/officeDocument/2006/relationships/hyperlink" Target="https://guiarsanrafael.com.ar/empresa/cfc-taller-chapa-y-pintura/" TargetMode="External" Id="rId330" /><Relationship Type="http://schemas.openxmlformats.org/officeDocument/2006/relationships/hyperlink" Target="https://guiarsanrafael.com.ar/empresa/chaine-taller-de-chapa-y-pintura/" TargetMode="External" Id="rId331" /><Relationship Type="http://schemas.openxmlformats.org/officeDocument/2006/relationships/hyperlink" Target="https://guiarsanrafael.com.ar/empresa/cia-lubricantes/" TargetMode="External" Id="rId332" /><Relationship Type="http://schemas.openxmlformats.org/officeDocument/2006/relationships/hyperlink" Target="https://guiarsanrafael.com.ar/empresa/cifel-veterinaria/" TargetMode="External" Id="rId333" /><Relationship Type="http://schemas.openxmlformats.org/officeDocument/2006/relationships/hyperlink" Target="https://guiarsanrafael.com.ar/empresa/cinta-federico-a/" TargetMode="External" Id="rId334" /><Relationship Type="http://schemas.openxmlformats.org/officeDocument/2006/relationships/hyperlink" Target="https://guiarsanrafael.com.ar/empresa/cisa-centro-integral-de-salud-animal/" TargetMode="External" Id="rId335" /><Relationship Type="http://schemas.openxmlformats.org/officeDocument/2006/relationships/hyperlink" Target="https://guiarsanrafael.com.ar/empresa/cito-path-laboratorio/" TargetMode="External" Id="rId336" /><Relationship Type="http://schemas.openxmlformats.org/officeDocument/2006/relationships/hyperlink" Target="https://guiarsanrafael.com.ar/empresa/claudia-benitez/" TargetMode="External" Id="rId337" /><Relationship Type="http://schemas.openxmlformats.org/officeDocument/2006/relationships/hyperlink" Target="https://guiarsanrafael.com.ar/empresa/claudia-nieto/" TargetMode="External" Id="rId338" /><Relationship Type="http://schemas.openxmlformats.org/officeDocument/2006/relationships/hyperlink" Target="https://guiarsanrafael.com.ar/empresa/claudia-rada/" TargetMode="External" Id="rId339" /><Relationship Type="http://schemas.openxmlformats.org/officeDocument/2006/relationships/hyperlink" Target="https://guiarsanrafael.com.ar/empresa/claudia-schiavone/" TargetMode="External" Id="rId340" /><Relationship Type="http://schemas.openxmlformats.org/officeDocument/2006/relationships/hyperlink" Target="https://guiarsanrafael.com.ar/empresa/clerici-alineaciones/" TargetMode="External" Id="rId341" /><Relationship Type="http://schemas.openxmlformats.org/officeDocument/2006/relationships/hyperlink" Target="https://guiarsanrafael.com.ar/empresa/click-electricidad/" TargetMode="External" Id="rId342" /><Relationship Type="http://schemas.openxmlformats.org/officeDocument/2006/relationships/hyperlink" Target="https://guiarsanrafael.com.ar/empresa/clima-car-climatizacion/" TargetMode="External" Id="rId343" /><Relationship Type="http://schemas.openxmlformats.org/officeDocument/2006/relationships/hyperlink" Target="https://guiarsanrafael.com.ar/empresa/climaset/" TargetMode="External" Id="rId344" /><Relationship Type="http://schemas.openxmlformats.org/officeDocument/2006/relationships/hyperlink" Target="https://guiarsanrafael.com.ar/empresa/clinica-bombal-excelencia-en-oftalmologia/" TargetMode="External" Id="rId345" /><Relationship Type="http://schemas.openxmlformats.org/officeDocument/2006/relationships/hyperlink" Target="https://guiarsanrafael.com.ar/empresa/club-de-pescadores-san-rafael/" TargetMode="External" Id="rId346" /><Relationship Type="http://schemas.openxmlformats.org/officeDocument/2006/relationships/hyperlink" Target="https://guiarsanrafael.com.ar/empresa/club-nautica-y-pesca-los-reyunos/" TargetMode="External" Id="rId347" /><Relationship Type="http://schemas.openxmlformats.org/officeDocument/2006/relationships/hyperlink" Target="https://guiarsanrafael.com.ar/empresa/cvl-glow-beauti/" TargetMode="External" Id="rId348" /><Relationship Type="http://schemas.openxmlformats.org/officeDocument/2006/relationships/hyperlink" Target="https://guiarsanrafael.com.ar/empresa/clasico-y-moderno-2/" TargetMode="External" Id="rId349" /><Relationship Type="http://schemas.openxmlformats.org/officeDocument/2006/relationships/hyperlink" Target="https://guiarsanrafael.com.ar/empresa/clasico-y-moderno/" TargetMode="External" Id="rId350" /><Relationship Type="http://schemas.openxmlformats.org/officeDocument/2006/relationships/hyperlink" Target="https://guiarsanrafael.com.ar/empresa/clinica-veterinaria-huellitas-de-amor/" TargetMode="External" Id="rId351" /><Relationship Type="http://schemas.openxmlformats.org/officeDocument/2006/relationships/hyperlink" Target="https://guiarsanrafael.com.ar/empresa/clinica-veterinaria-sumaran/" TargetMode="External" Id="rId352" /><Relationship Type="http://schemas.openxmlformats.org/officeDocument/2006/relationships/hyperlink" Target="https://guiarsanrafael.com.ar/empresa/clinica-veterinaria-belgrano/" TargetMode="External" Id="rId353" /><Relationship Type="http://schemas.openxmlformats.org/officeDocument/2006/relationships/hyperlink" Target="https://guiarsanrafael.com.ar/empresa/cmv-alarmas-electronica/" TargetMode="External" Id="rId354" /><Relationship Type="http://schemas.openxmlformats.org/officeDocument/2006/relationships/hyperlink" Target="https://guiarsanrafael.com.ar/empresa/cocco-karla-andrea/" TargetMode="External" Id="rId355" /><Relationship Type="http://schemas.openxmlformats.org/officeDocument/2006/relationships/hyperlink" Target="https://guiarsanrafael.com.ar/empresa/cocheria-ariel-gomez/" TargetMode="External" Id="rId356" /><Relationship Type="http://schemas.openxmlformats.org/officeDocument/2006/relationships/hyperlink" Target="https://guiarsanrafael.com.ar/empresa/coduti-emanuel/" TargetMode="External" Id="rId357" /><Relationship Type="http://schemas.openxmlformats.org/officeDocument/2006/relationships/hyperlink" Target="https://guiarsanrafael.com.ar/empresa/coletta-esteban-raul/" TargetMode="External" Id="rId358" /><Relationship Type="http://schemas.openxmlformats.org/officeDocument/2006/relationships/hyperlink" Target="https://guiarsanrafael.com.ar/empresa/colorina-apart-hotel-y-spa/" TargetMode="External" Id="rId359" /><Relationship Type="http://schemas.openxmlformats.org/officeDocument/2006/relationships/hyperlink" Target="https://guiarsanrafael.com.ar/empresa/complejo-carmen/" TargetMode="External" Id="rId360" /><Relationship Type="http://schemas.openxmlformats.org/officeDocument/2006/relationships/hyperlink" Target="https://guiarsanrafael.com.ar/empresa/complejo-derqui/" TargetMode="External" Id="rId361" /><Relationship Type="http://schemas.openxmlformats.org/officeDocument/2006/relationships/hyperlink" Target="https://guiarsanrafael.com.ar/empresa/complejo-miguel-cane/" TargetMode="External" Id="rId362" /><Relationship Type="http://schemas.openxmlformats.org/officeDocument/2006/relationships/hyperlink" Target="https://guiarsanrafael.com.ar/empresa/computacion-dc/" TargetMode="External" Id="rId363" /><Relationship Type="http://schemas.openxmlformats.org/officeDocument/2006/relationships/hyperlink" Target="https://guiarsanrafael.com.ar/empresa/compuval-insumos-de-computacion/" TargetMode="External" Id="rId364" /><Relationship Type="http://schemas.openxmlformats.org/officeDocument/2006/relationships/hyperlink" Target="https://guiarsanrafael.com.ar/empresa/condori-nancy-susana/" TargetMode="External" Id="rId365" /><Relationship Type="http://schemas.openxmlformats.org/officeDocument/2006/relationships/hyperlink" Target="https://guiarsanrafael.com.ar/empresa/constanza-andreoni/" TargetMode="External" Id="rId366" /><Relationship Type="http://schemas.openxmlformats.org/officeDocument/2006/relationships/hyperlink" Target="https://guiarsanrafael.com.ar/empresa/consultorios-atuel/" TargetMode="External" Id="rId367" /><Relationship Type="http://schemas.openxmlformats.org/officeDocument/2006/relationships/hyperlink" Target="https://guiarsanrafael.com.ar/empresa/consultorios-medicos-cuyo/" TargetMode="External" Id="rId368" /><Relationship Type="http://schemas.openxmlformats.org/officeDocument/2006/relationships/hyperlink" Target="https://guiarsanrafael.com.ar/empresa/control-desinfecciones/" TargetMode="External" Id="rId369" /><Relationship Type="http://schemas.openxmlformats.org/officeDocument/2006/relationships/hyperlink" Target="https://guiarsanrafael.com.ar/empresa/cop-centro-oftalmologico-privado/" TargetMode="External" Id="rId370" /><Relationship Type="http://schemas.openxmlformats.org/officeDocument/2006/relationships/hyperlink" Target="https://guiarsanrafael.com.ar/empresa/copeteo-tienda-de-vinos/" TargetMode="External" Id="rId371" /><Relationship Type="http://schemas.openxmlformats.org/officeDocument/2006/relationships/hyperlink" Target="https://guiarsanrafael.com.ar/empresa/corbo-wine-bar/" TargetMode="External" Id="rId372" /><Relationship Type="http://schemas.openxmlformats.org/officeDocument/2006/relationships/hyperlink" Target="https://guiarsanrafael.com.ar/empresa/cordero-maria-laura/" TargetMode="External" Id="rId373" /><Relationship Type="http://schemas.openxmlformats.org/officeDocument/2006/relationships/hyperlink" Target="https://guiarsanrafael.com.ar/empresa/cornejo-noelia/" TargetMode="External" Id="rId374" /><Relationship Type="http://schemas.openxmlformats.org/officeDocument/2006/relationships/hyperlink" Target="https://guiarsanrafael.com.ar/empresa/coronel-maria-celina/" TargetMode="External" Id="rId375" /><Relationship Type="http://schemas.openxmlformats.org/officeDocument/2006/relationships/hyperlink" Target="https://guiarsanrafael.com.ar/empresa/corpobello/" TargetMode="External" Id="rId376" /><Relationship Type="http://schemas.openxmlformats.org/officeDocument/2006/relationships/hyperlink" Target="https://guiarsanrafael.com.ar/empresa/correa-maria-virginia/" TargetMode="External" Id="rId377" /><Relationship Type="http://schemas.openxmlformats.org/officeDocument/2006/relationships/hyperlink" Target="https://guiarsanrafael.com.ar/empresa/corvalan-raul-alberto/" TargetMode="External" Id="rId378" /><Relationship Type="http://schemas.openxmlformats.org/officeDocument/2006/relationships/hyperlink" Target="https://guiarsanrafael.com.ar/empresa/cosmos-constructora/" TargetMode="External" Id="rId379" /><Relationship Type="http://schemas.openxmlformats.org/officeDocument/2006/relationships/hyperlink" Target="https://guiarsanrafael.com.ar/empresa/cosr-circulo-odontologico-san-rafael/" TargetMode="External" Id="rId380" /><Relationship Type="http://schemas.openxmlformats.org/officeDocument/2006/relationships/hyperlink" Target="https://guiarsanrafael.com.ar/empresa/cotillon-arco/" TargetMode="External" Id="rId381" /><Relationship Type="http://schemas.openxmlformats.org/officeDocument/2006/relationships/hyperlink" Target="https://guiarsanrafael.com.ar/empresa/cotillon-del-correo/" TargetMode="External" Id="rId382" /><Relationship Type="http://schemas.openxmlformats.org/officeDocument/2006/relationships/hyperlink" Target="https://guiarsanrafael.com.ar/empresa/cresco-centro-de-rehabilitacion-de-escoliosis/" TargetMode="External" Id="rId383" /><Relationship Type="http://schemas.openxmlformats.org/officeDocument/2006/relationships/hyperlink" Target="https://guiarsanrafael.com.ar/empresa/cristaleria-el-ciamante/" TargetMode="External" Id="rId384" /><Relationship Type="http://schemas.openxmlformats.org/officeDocument/2006/relationships/hyperlink" Target="https://guiarsanrafael.com.ar/empresa/cristales-lopez/" TargetMode="External" Id="rId385" /><Relationship Type="http://schemas.openxmlformats.org/officeDocument/2006/relationships/hyperlink" Target="https://guiarsanrafael.com.ar/empresa/cristian-fornara/" TargetMode="External" Id="rId386" /><Relationship Type="http://schemas.openxmlformats.org/officeDocument/2006/relationships/hyperlink" Target="https://guiarsanrafael.com.ar/empresa/cristian-ginestar/" TargetMode="External" Id="rId387" /><Relationship Type="http://schemas.openxmlformats.org/officeDocument/2006/relationships/hyperlink" Target="https://guiarsanrafael.com.ar/empresa/cristian-papagni/" TargetMode="External" Id="rId388" /><Relationship Type="http://schemas.openxmlformats.org/officeDocument/2006/relationships/hyperlink" Target="https://guiarsanrafael.com.ar/empresa/cristian-subiris/" TargetMode="External" Id="rId389" /><Relationship Type="http://schemas.openxmlformats.org/officeDocument/2006/relationships/hyperlink" Target="https://guiarsanrafael.com.ar/empresa/cristina-gomez/" TargetMode="External" Id="rId390" /><Relationship Type="http://schemas.openxmlformats.org/officeDocument/2006/relationships/hyperlink" Target="https://guiarsanrafael.com.ar/empresa/cruzmarco-valentin/" TargetMode="External" Id="rId391" /><Relationship Type="http://schemas.openxmlformats.org/officeDocument/2006/relationships/hyperlink" Target="https://guiarsanrafael.com.ar/empresa/cruz-de-molina-cecilia-gabriela/" TargetMode="External" Id="rId392" /><Relationship Type="http://schemas.openxmlformats.org/officeDocument/2006/relationships/hyperlink" Target="https://guiarsanrafael.com.ar/empresa/cruz-funes-elisa-maria/" TargetMode="External" Id="rId393" /><Relationship Type="http://schemas.openxmlformats.org/officeDocument/2006/relationships/hyperlink" Target="https://guiarsanrafael.com.ar/empresa/cuevas-refrijeracion/" TargetMode="External" Id="rId394" /><Relationship Type="http://schemas.openxmlformats.org/officeDocument/2006/relationships/hyperlink" Target="https://guiarsanrafael.com.ar/empresa/cuidarte-salud-y-bienestar/" TargetMode="External" Id="rId395" /><Relationship Type="http://schemas.openxmlformats.org/officeDocument/2006/relationships/hyperlink" Target="https://guiarsanrafael.com.ar/empresa/cumbrein-inversiones-inmobiliarias/" TargetMode="External" Id="rId396" /><Relationship Type="http://schemas.openxmlformats.org/officeDocument/2006/relationships/hyperlink" Target="https://guiarsanrafael.com.ar/empresa/curcuma-comida-sana-saludable/" TargetMode="External" Id="rId397" /><Relationship Type="http://schemas.openxmlformats.org/officeDocument/2006/relationships/hyperlink" Target="https://guiarsanrafael.com.ar/empresa/cycles-carly-ii/" TargetMode="External" Id="rId398" /><Relationship Type="http://schemas.openxmlformats.org/officeDocument/2006/relationships/hyperlink" Target="https://guiarsanrafael.com.ar/empresa/cycles-charly/" TargetMode="External" Id="rId399" /><Relationship Type="http://schemas.openxmlformats.org/officeDocument/2006/relationships/hyperlink" Target="https://guiarsanrafael.com.ar/empresa/cyntia-anabella-gil/" TargetMode="External" Id="rId400" /><Relationship Type="http://schemas.openxmlformats.org/officeDocument/2006/relationships/hyperlink" Target="https://guiarsanrafael.com.ar/empresa/cascara-colorada/" TargetMode="External" Id="rId401" /><Relationship Type="http://schemas.openxmlformats.org/officeDocument/2006/relationships/hyperlink" Target="https://guiarsanrafael.com.ar/empresa/dafhne-peluqueria-estetica/" TargetMode="External" Id="rId402" /><Relationship Type="http://schemas.openxmlformats.org/officeDocument/2006/relationships/hyperlink" Target="https://guiarsanrafael.com.ar/empresa/daiana-cobos-2/" TargetMode="External" Id="rId403" /><Relationship Type="http://schemas.openxmlformats.org/officeDocument/2006/relationships/hyperlink" Target="https://guiarsanrafael.com.ar/empresa/daiana-cobos/" TargetMode="External" Id="rId404" /><Relationship Type="http://schemas.openxmlformats.org/officeDocument/2006/relationships/hyperlink" Target="https://guiarsanrafael.com.ar/empresa/dakar-motos/" TargetMode="External" Id="rId405" /><Relationship Type="http://schemas.openxmlformats.org/officeDocument/2006/relationships/hyperlink" Target="https://guiarsanrafael.com.ar/empresa/dani-aberturas-de-aluminio/" TargetMode="External" Id="rId406" /><Relationship Type="http://schemas.openxmlformats.org/officeDocument/2006/relationships/hyperlink" Target="https://guiarsanrafael.com.ar/empresa/daniel-catanese/" TargetMode="External" Id="rId407" /><Relationship Type="http://schemas.openxmlformats.org/officeDocument/2006/relationships/hyperlink" Target="https://guiarsanrafael.com.ar/empresa/daniel-felix-del-sur-medicina-estetica/" TargetMode="External" Id="rId408" /><Relationship Type="http://schemas.openxmlformats.org/officeDocument/2006/relationships/hyperlink" Target="https://guiarsanrafael.com.ar/empresa/daniel-giorgini/" TargetMode="External" Id="rId409" /><Relationship Type="http://schemas.openxmlformats.org/officeDocument/2006/relationships/hyperlink" Target="https://guiarsanrafael.com.ar/empresa/daniela-diaz-osteopatia/" TargetMode="External" Id="rId410" /><Relationship Type="http://schemas.openxmlformats.org/officeDocument/2006/relationships/hyperlink" Target="https://guiarsanrafael.com.ar/empresa/daniela-greco/" TargetMode="External" Id="rId411" /><Relationship Type="http://schemas.openxmlformats.org/officeDocument/2006/relationships/hyperlink" Target="https://guiarsanrafael.com.ar/empresa/daniela-peralta/" TargetMode="External" Id="rId412" /><Relationship Type="http://schemas.openxmlformats.org/officeDocument/2006/relationships/hyperlink" Target="https://guiarsanrafael.com.ar/empresa/daniela-sanchez/" TargetMode="External" Id="rId413" /><Relationship Type="http://schemas.openxmlformats.org/officeDocument/2006/relationships/hyperlink" Target="https://guiarsanrafael.com.ar/empresa/daparo-maria-cecilia/" TargetMode="External" Id="rId414" /><Relationship Type="http://schemas.openxmlformats.org/officeDocument/2006/relationships/hyperlink" Target="https://guiarsanrafael.com.ar/empresa/dario-biancotti/" TargetMode="External" Id="rId415" /><Relationship Type="http://schemas.openxmlformats.org/officeDocument/2006/relationships/hyperlink" Target="https://guiarsanrafael.com.ar/empresa/dario-fokszek/" TargetMode="External" Id="rId416" /><Relationship Type="http://schemas.openxmlformats.org/officeDocument/2006/relationships/hyperlink" Target="https://guiarsanrafael.com.ar/empresa/david-vitola/" TargetMode="External" Id="rId417" /><Relationship Type="http://schemas.openxmlformats.org/officeDocument/2006/relationships/hyperlink" Target="https://guiarsanrafael.com.ar/empresa/dayra-rodados/" TargetMode="External" Id="rId418" /><Relationship Type="http://schemas.openxmlformats.org/officeDocument/2006/relationships/hyperlink" Target="https://guiarsanrafael.com.ar/empresa/daytona-garage/" TargetMode="External" Id="rId419" /><Relationship Type="http://schemas.openxmlformats.org/officeDocument/2006/relationships/hyperlink" Target="https://guiarsanrafael.com.ar/empresa/de-campo-carnes/" TargetMode="External" Id="rId420" /><Relationship Type="http://schemas.openxmlformats.org/officeDocument/2006/relationships/hyperlink" Target="https://guiarsanrafael.com.ar/empresa/de-martos-ferreteria-industrial/" TargetMode="External" Id="rId421" /><Relationship Type="http://schemas.openxmlformats.org/officeDocument/2006/relationships/hyperlink" Target="https://guiarsanrafael.com.ar/empresa/de-nevreze-y-asociados/" TargetMode="External" Id="rId422" /><Relationship Type="http://schemas.openxmlformats.org/officeDocument/2006/relationships/hyperlink" Target="https://guiarsanrafael.com.ar/empresa/de-nuestra-tierra/" TargetMode="External" Id="rId423" /><Relationship Type="http://schemas.openxmlformats.org/officeDocument/2006/relationships/hyperlink" Target="https://guiarsanrafael.com.ar/empresa/de-syrah-restaurante/" TargetMode="External" Id="rId424" /><Relationship Type="http://schemas.openxmlformats.org/officeDocument/2006/relationships/hyperlink" Target="https://guiarsanrafael.com.ar/empresa/decar-direccion-hidraulica/" TargetMode="External" Id="rId425" /><Relationship Type="http://schemas.openxmlformats.org/officeDocument/2006/relationships/hyperlink" Target="https://guiarsanrafael.com.ar/empresa/del-centro-pinturerias/" TargetMode="External" Id="rId426" /><Relationship Type="http://schemas.openxmlformats.org/officeDocument/2006/relationships/hyperlink" Target="https://guiarsanrafael.com.ar/empresa/del-cielo-articulos-de-limpieza/" TargetMode="External" Id="rId427" /><Relationship Type="http://schemas.openxmlformats.org/officeDocument/2006/relationships/hyperlink" Target="https://guiarsanrafael.com.ar/empresa/del-pozzimaria-de-guadalupe/" TargetMode="External" Id="rId428" /><Relationship Type="http://schemas.openxmlformats.org/officeDocument/2006/relationships/hyperlink" Target="https://guiarsanrafael.com.ar/empresa/del-telar-retaseria/" TargetMode="External" Id="rId429" /><Relationship Type="http://schemas.openxmlformats.org/officeDocument/2006/relationships/hyperlink" Target="https://guiarsanrafael.com.ar/empresa/del-telar-retaseria-2/" TargetMode="External" Id="rId430" /><Relationship Type="http://schemas.openxmlformats.org/officeDocument/2006/relationships/hyperlink" Target="https://guiarsanrafael.com.ar/empresa/del-valle-blanqueria-cortinados/" TargetMode="External" Id="rId431" /><Relationship Type="http://schemas.openxmlformats.org/officeDocument/2006/relationships/hyperlink" Target="https://guiarsanrafael.com.ar/empresa/delfin-indumentaria/" TargetMode="External" Id="rId432" /><Relationship Type="http://schemas.openxmlformats.org/officeDocument/2006/relationships/hyperlink" Target="https://guiarsanrafael.com.ar/empresa/delicias-saludables/" TargetMode="External" Id="rId433" /><Relationship Type="http://schemas.openxmlformats.org/officeDocument/2006/relationships/hyperlink" Target="https://guiarsanrafael.com.ar/empresa/denise-chambard/" TargetMode="External" Id="rId434" /><Relationship Type="http://schemas.openxmlformats.org/officeDocument/2006/relationships/hyperlink" Target="https://guiarsanrafael.com.ar/empresa/denise-lana/" TargetMode="External" Id="rId435" /><Relationship Type="http://schemas.openxmlformats.org/officeDocument/2006/relationships/hyperlink" Target="https://guiarsanrafael.com.ar/empresa/denita-maderas-srl/" TargetMode="External" Id="rId436" /><Relationship Type="http://schemas.openxmlformats.org/officeDocument/2006/relationships/hyperlink" Target="https://guiarsanrafael.com.ar/empresa/departamentos-alsina/" TargetMode="External" Id="rId437" /><Relationship Type="http://schemas.openxmlformats.org/officeDocument/2006/relationships/hyperlink" Target="https://guiarsanrafael.com.ar/empresa/derma-estetica/" TargetMode="External" Id="rId438" /><Relationship Type="http://schemas.openxmlformats.org/officeDocument/2006/relationships/hyperlink" Target="https://guiarsanrafael.com.ar/empresa/desagotes-ya/" TargetMode="External" Id="rId439" /><Relationship Type="http://schemas.openxmlformats.org/officeDocument/2006/relationships/hyperlink" Target="https://guiarsanrafael.com.ar/empresa/desilvestre-emmanuel-fernando/" TargetMode="External" Id="rId440" /><Relationship Type="http://schemas.openxmlformats.org/officeDocument/2006/relationships/hyperlink" Target="https://guiarsanrafael.com.ar/empresa/desing-alum/" TargetMode="External" Id="rId441" /><Relationship Type="http://schemas.openxmlformats.org/officeDocument/2006/relationships/hyperlink" Target="https://guiarsanrafael.com.ar/empresa/destileria-cuyo/" TargetMode="External" Id="rId442" /><Relationship Type="http://schemas.openxmlformats.org/officeDocument/2006/relationships/hyperlink" Target="https://guiarsanrafael.com.ar/empresa/detalles-levanta-cristales/" TargetMode="External" Id="rId443" /><Relationship Type="http://schemas.openxmlformats.org/officeDocument/2006/relationships/hyperlink" Target="https://guiarsanrafael.com.ar/empresa/di-marco-pellegrinipablo-ivan/" TargetMode="External" Id="rId444" /><Relationship Type="http://schemas.openxmlformats.org/officeDocument/2006/relationships/hyperlink" Target="https://guiarsanrafael.com.ar/empresa/di-pietro-paola/" TargetMode="External" Id="rId445" /><Relationship Type="http://schemas.openxmlformats.org/officeDocument/2006/relationships/hyperlink" Target="https://guiarsanrafael.com.ar/empresa/diagnosticar-taller-mecanico/" TargetMode="External" Id="rId446" /><Relationship Type="http://schemas.openxmlformats.org/officeDocument/2006/relationships/hyperlink" Target="https://guiarsanrafael.com.ar/empresa/diamante-viajes/" TargetMode="External" Id="rId447" /><Relationship Type="http://schemas.openxmlformats.org/officeDocument/2006/relationships/hyperlink" Target="https://guiarsanrafael.com.ar/empresa/diana-sosa/" TargetMode="External" Id="rId448" /><Relationship Type="http://schemas.openxmlformats.org/officeDocument/2006/relationships/hyperlink" Target="https://guiarsanrafael.com.ar/empresa/diazdiego-luciano/" TargetMode="External" Id="rId449" /><Relationship Type="http://schemas.openxmlformats.org/officeDocument/2006/relationships/hyperlink" Target="https://guiarsanrafael.com.ar/empresa/didier-di-cesare/" TargetMode="External" Id="rId450" /><Relationship Type="http://schemas.openxmlformats.org/officeDocument/2006/relationships/hyperlink" Target="https://guiarsanrafael.com.ar/empresa/diego-aquiles-aimone/" TargetMode="External" Id="rId451" /><Relationship Type="http://schemas.openxmlformats.org/officeDocument/2006/relationships/hyperlink" Target="https://guiarsanrafael.com.ar/empresa/diego-burnet/" TargetMode="External" Id="rId452" /><Relationship Type="http://schemas.openxmlformats.org/officeDocument/2006/relationships/hyperlink" Target="https://guiarsanrafael.com.ar/empresa/giego-carmona/" TargetMode="External" Id="rId453" /><Relationship Type="http://schemas.openxmlformats.org/officeDocument/2006/relationships/hyperlink" Target="https://guiarsanrafael.com.ar/empresa/diego-hernandez/" TargetMode="External" Id="rId454" /><Relationship Type="http://schemas.openxmlformats.org/officeDocument/2006/relationships/hyperlink" Target="https://guiarsanrafael.com.ar/empresa/diego-martin-miras/" TargetMode="External" Id="rId455" /><Relationship Type="http://schemas.openxmlformats.org/officeDocument/2006/relationships/hyperlink" Target="https://guiarsanrafael.com.ar/empresa/diego-martin-sosa/" TargetMode="External" Id="rId456" /><Relationship Type="http://schemas.openxmlformats.org/officeDocument/2006/relationships/hyperlink" Target="https://guiarsanrafael.com.ar/empresa/diego-motos/" TargetMode="External" Id="rId457" /><Relationship Type="http://schemas.openxmlformats.org/officeDocument/2006/relationships/hyperlink" Target="https://guiarsanrafael.com.ar/empresa/diego-ripa/" TargetMode="External" Id="rId458" /><Relationship Type="http://schemas.openxmlformats.org/officeDocument/2006/relationships/hyperlink" Target="https://guiarsanrafael.com.ar/empresa/diego-sosa/" TargetMode="External" Id="rId459" /><Relationship Type="http://schemas.openxmlformats.org/officeDocument/2006/relationships/hyperlink" Target="https://guiarsanrafael.com.ar/empresa/diego-villarruel/" TargetMode="External" Id="rId460" /><Relationship Type="http://schemas.openxmlformats.org/officeDocument/2006/relationships/hyperlink" Target="https://guiarsanrafael.com.ar/empresa/diesel-lange-srl/" TargetMode="External" Id="rId461" /><Relationship Type="http://schemas.openxmlformats.org/officeDocument/2006/relationships/hyperlink" Target="https://guiarsanrafael.com.ar/empresa/dietetica-66/" TargetMode="External" Id="rId462" /><Relationship Type="http://schemas.openxmlformats.org/officeDocument/2006/relationships/hyperlink" Target="https://guiarsanrafael.com.ar/empresa/dietetica-integral/" TargetMode="External" Id="rId463" /><Relationship Type="http://schemas.openxmlformats.org/officeDocument/2006/relationships/hyperlink" Target="https://guiarsanrafael.com.ar/empresa/dietetica-san-rafael/" TargetMode="External" Id="rId464" /><Relationship Type="http://schemas.openxmlformats.org/officeDocument/2006/relationships/hyperlink" Target="https://guiarsanrafael.com.ar/empresa/dietetica-azafran/" TargetMode="External" Id="rId465" /><Relationship Type="http://schemas.openxmlformats.org/officeDocument/2006/relationships/hyperlink" Target="https://guiarsanrafael.com.ar/empresa/dietetica-primavera/" TargetMode="External" Id="rId466" /><Relationship Type="http://schemas.openxmlformats.org/officeDocument/2006/relationships/hyperlink" Target="https://guiarsanrafael.com.ar/empresa/dietetica-tomas-todo-suelto/" TargetMode="External" Id="rId467" /><Relationship Type="http://schemas.openxmlformats.org/officeDocument/2006/relationships/hyperlink" Target="https://guiarsanrafael.com.ar/empresa/dietetica-verde-limon/" TargetMode="External" Id="rId468" /><Relationship Type="http://schemas.openxmlformats.org/officeDocument/2006/relationships/hyperlink" Target="https://guiarsanrafael.com.ar/empresa/diger-electronica/" TargetMode="External" Id="rId469" /><Relationship Type="http://schemas.openxmlformats.org/officeDocument/2006/relationships/hyperlink" Target="https://guiarsanrafael.com.ar/empresa/8010/" TargetMode="External" Id="rId470" /><Relationship Type="http://schemas.openxmlformats.org/officeDocument/2006/relationships/hyperlink" Target="https://guiarsanrafael.com.ar/empresa/disfraces-laura/" TargetMode="External" Id="rId471" /><Relationship Type="http://schemas.openxmlformats.org/officeDocument/2006/relationships/hyperlink" Target="https://guiarsanrafael.com.ar/empresa/9275/" TargetMode="External" Id="rId472" /><Relationship Type="http://schemas.openxmlformats.org/officeDocument/2006/relationships/hyperlink" Target="https://guiarsanrafael.com.ar/empresa/distribuidora-saj/" TargetMode="External" Id="rId473" /><Relationship Type="http://schemas.openxmlformats.org/officeDocument/2006/relationships/hyperlink" Target="https://guiarsanrafael.com.ar/empresa/distrimar-papeleria-mayorista/" TargetMode="External" Id="rId474" /><Relationship Type="http://schemas.openxmlformats.org/officeDocument/2006/relationships/hyperlink" Target="https://guiarsanrafael.com.ar/empresa/distrisur/" TargetMode="External" Id="rId475" /><Relationship Type="http://schemas.openxmlformats.org/officeDocument/2006/relationships/hyperlink" Target="https://guiarsanrafael.com.ar/empresa/ditaine-garage/" TargetMode="External" Id="rId476" /><Relationship Type="http://schemas.openxmlformats.org/officeDocument/2006/relationships/hyperlink" Target="https://guiarsanrafael.com.ar/empresa/dnr-detailing/" TargetMode="External" Id="rId477" /><Relationship Type="http://schemas.openxmlformats.org/officeDocument/2006/relationships/hyperlink" Target="https://guiarsanrafael.com.ar/empresa/dolcezza-pasteleria-artesanal/" TargetMode="External" Id="rId478" /><Relationship Type="http://schemas.openxmlformats.org/officeDocument/2006/relationships/hyperlink" Target="https://guiarsanrafael.com.ar/empresa/domus-terra-inmobiliaria/" TargetMode="External" Id="rId479" /><Relationship Type="http://schemas.openxmlformats.org/officeDocument/2006/relationships/hyperlink" Target="https://guiarsanrafael.com.ar/empresa/don-carmelo-muebleria-hogar/" TargetMode="External" Id="rId480" /><Relationship Type="http://schemas.openxmlformats.org/officeDocument/2006/relationships/hyperlink" Target="https://guiarsanrafael.com.ar/empresa/don-carmelo-premium/" TargetMode="External" Id="rId481" /><Relationship Type="http://schemas.openxmlformats.org/officeDocument/2006/relationships/hyperlink" Target="https://guiarsanrafael.com.ar/empresa/donati-bruno-luciano/" TargetMode="External" Id="rId482" /><Relationship Type="http://schemas.openxmlformats.org/officeDocument/2006/relationships/hyperlink" Target="https://guiarsanrafael.com.ar/empresa/doriels-perfumeria/" TargetMode="External" Id="rId483" /><Relationship Type="http://schemas.openxmlformats.org/officeDocument/2006/relationships/hyperlink" Target="https://guiarsanrafael.com.ar/empresa/dr-iphone/" TargetMode="External" Id="rId484" /><Relationship Type="http://schemas.openxmlformats.org/officeDocument/2006/relationships/hyperlink" Target="https://guiarsanrafael.com.ar/empresa/dr-luffi-clinica-veterinaria/" TargetMode="External" Id="rId485" /><Relationship Type="http://schemas.openxmlformats.org/officeDocument/2006/relationships/hyperlink" Target="https://guiarsanrafael.com.ar/empresa/dt-andres-tavares-mecanica/" TargetMode="External" Id="rId486" /><Relationship Type="http://schemas.openxmlformats.org/officeDocument/2006/relationships/hyperlink" Target="https://guiarsanrafael.com.ar/empresa/dulce-delicia/" TargetMode="External" Id="rId487" /><Relationship Type="http://schemas.openxmlformats.org/officeDocument/2006/relationships/hyperlink" Target="https://guiarsanrafael.com.ar/empresa/dulce-tentacion-reposteria/" TargetMode="External" Id="rId488" /><Relationship Type="http://schemas.openxmlformats.org/officeDocument/2006/relationships/hyperlink" Target="https://guiarsanrafael.com.ar/empresa/duran-maria-jimena/" TargetMode="External" Id="rId489" /><Relationship Type="http://schemas.openxmlformats.org/officeDocument/2006/relationships/hyperlink" Target="https://guiarsanrafael.com.ar/empresa/damaris-luduena/" TargetMode="External" Id="rId490" /><Relationship Type="http://schemas.openxmlformats.org/officeDocument/2006/relationships/hyperlink" Target="https://guiarsanrafael.com.ar/empresa/di-cesarepablo-federico/" TargetMode="External" Id="rId491" /><Relationship Type="http://schemas.openxmlformats.org/officeDocument/2006/relationships/hyperlink" Target="https://guiarsanrafael.com.ar/empresa/diaz-gaston-emilio/" TargetMode="External" Id="rId492" /><Relationship Type="http://schemas.openxmlformats.org/officeDocument/2006/relationships/hyperlink" Target="https://guiarsanrafael.com.ar/empresa/diaz-goma/" TargetMode="External" Id="rId493" /><Relationship Type="http://schemas.openxmlformats.org/officeDocument/2006/relationships/hyperlink" Target="https://guiarsanrafael.com.ar/empresa/echeverria-alejandro-rafael/" TargetMode="External" Id="rId494" /><Relationship Type="http://schemas.openxmlformats.org/officeDocument/2006/relationships/hyperlink" Target="https://guiarsanrafael.com.ar/empresa/ecolaser-servicio-tecnico/" TargetMode="External" Id="rId495" /><Relationship Type="http://schemas.openxmlformats.org/officeDocument/2006/relationships/hyperlink" Target="https://guiarsanrafael.com.ar/empresa/ecxo-distribuidora-mayorista/" TargetMode="External" Id="rId496" /><Relationship Type="http://schemas.openxmlformats.org/officeDocument/2006/relationships/hyperlink" Target="https://guiarsanrafael.com.ar/empresa/edgardo-sciarrabba/" TargetMode="External" Id="rId497" /><Relationship Type="http://schemas.openxmlformats.org/officeDocument/2006/relationships/hyperlink" Target="https://guiarsanrafael.com.ar/empresa/eduardo-andres-murcia/" TargetMode="External" Id="rId498" /><Relationship Type="http://schemas.openxmlformats.org/officeDocument/2006/relationships/hyperlink" Target="https://guiarsanrafael.com.ar/empresa/eduardo-chavari/" TargetMode="External" Id="rId499" /><Relationship Type="http://schemas.openxmlformats.org/officeDocument/2006/relationships/hyperlink" Target="https://guiarsanrafael.com.ar/empresa/eduardo-di-cesare/" TargetMode="External" Id="rId500" /><Relationship Type="http://schemas.openxmlformats.org/officeDocument/2006/relationships/hyperlink" Target="https://guiarsanrafael.com.ar/empresa/eduardo-martinez/" TargetMode="External" Id="rId501" /><Relationship Type="http://schemas.openxmlformats.org/officeDocument/2006/relationships/hyperlink" Target="https://guiarsanrafael.com.ar/empresa/eduardo-riofrio/" TargetMode="External" Id="rId502" /><Relationship Type="http://schemas.openxmlformats.org/officeDocument/2006/relationships/hyperlink" Target="https://guiarsanrafael.com.ar/empresa/edukan-san-rafael/" TargetMode="External" Id="rId503" /><Relationship Type="http://schemas.openxmlformats.org/officeDocument/2006/relationships/hyperlink" Target="https://guiarsanrafael.com.ar/empresa/efeta-libros/" TargetMode="External" Id="rId504" /><Relationship Type="http://schemas.openxmlformats.org/officeDocument/2006/relationships/hyperlink" Target="https://guiarsanrafael.com.ar/empresa/el-arbol/" TargetMode="External" Id="rId505" /><Relationship Type="http://schemas.openxmlformats.org/officeDocument/2006/relationships/hyperlink" Target="https://guiarsanrafael.com.ar/empresa/el-carmelo-charcuteria-artasanal/" TargetMode="External" Id="rId506" /><Relationship Type="http://schemas.openxmlformats.org/officeDocument/2006/relationships/hyperlink" Target="https://guiarsanrafael.com.ar/empresa/el-celu-2/" TargetMode="External" Id="rId507" /><Relationship Type="http://schemas.openxmlformats.org/officeDocument/2006/relationships/hyperlink" Target="https://guiarsanrafael.com.ar/empresa/el-celu/" TargetMode="External" Id="rId508" /><Relationship Type="http://schemas.openxmlformats.org/officeDocument/2006/relationships/hyperlink" Target="https://guiarsanrafael.com.ar/empresa/el-celu-3/" TargetMode="External" Id="rId509" /><Relationship Type="http://schemas.openxmlformats.org/officeDocument/2006/relationships/hyperlink" Target="https://guiarsanrafael.com.ar/empresa/el-celu-4/" TargetMode="External" Id="rId510" /><Relationship Type="http://schemas.openxmlformats.org/officeDocument/2006/relationships/hyperlink" Target="https://guiarsanrafael.com.ar/empresa/el-ferretero/" TargetMode="External" Id="rId511" /><Relationship Type="http://schemas.openxmlformats.org/officeDocument/2006/relationships/hyperlink" Target="https://guiarsanrafael.com.ar/empresa/el-fortin-panaderia-cafe/" TargetMode="External" Id="rId512" /><Relationship Type="http://schemas.openxmlformats.org/officeDocument/2006/relationships/hyperlink" Target="https://guiarsanrafael.com.ar/empresa/el-galppon-fiambreria/" TargetMode="External" Id="rId513" /><Relationship Type="http://schemas.openxmlformats.org/officeDocument/2006/relationships/hyperlink" Target="https://guiarsanrafael.com.ar/empresa/el-gringo-ferreteria/" TargetMode="External" Id="rId514" /><Relationship Type="http://schemas.openxmlformats.org/officeDocument/2006/relationships/hyperlink" Target="https://guiarsanrafael.com.ar/empresa/el-hot-sandgucheria/" TargetMode="External" Id="rId515" /><Relationship Type="http://schemas.openxmlformats.org/officeDocument/2006/relationships/hyperlink" Target="https://guiarsanrafael.com.ar/empresa/el-indalo-construccion-en-seco/" TargetMode="External" Id="rId516" /><Relationship Type="http://schemas.openxmlformats.org/officeDocument/2006/relationships/hyperlink" Target="https://guiarsanrafael.com.ar/empresa/el-mangrullo-salon-de-eventos/" TargetMode="External" Id="rId517" /><Relationship Type="http://schemas.openxmlformats.org/officeDocument/2006/relationships/hyperlink" Target="https://guiarsanrafael.com.ar/empresa/el-moreno-byke-and-services/" TargetMode="External" Id="rId518" /><Relationship Type="http://schemas.openxmlformats.org/officeDocument/2006/relationships/hyperlink" Target="https://guiarsanrafael.com.ar/empresa/el-parque-supermercado-de-bebidas-2/" TargetMode="External" Id="rId519" /><Relationship Type="http://schemas.openxmlformats.org/officeDocument/2006/relationships/hyperlink" Target="https://guiarsanrafael.com.ar/empresa/el-parque-supermercado-de-bebidas-3/" TargetMode="External" Id="rId520" /><Relationship Type="http://schemas.openxmlformats.org/officeDocument/2006/relationships/hyperlink" Target="https://guiarsanrafael.com.ar/empresa/el-parque-supermercado-de-bebidas/" TargetMode="External" Id="rId521" /><Relationship Type="http://schemas.openxmlformats.org/officeDocument/2006/relationships/hyperlink" Target="https://guiarsanrafael.com.ar/empresa/el-patio-beer-house/" TargetMode="External" Id="rId522" /><Relationship Type="http://schemas.openxmlformats.org/officeDocument/2006/relationships/hyperlink" Target="https://guiarsanrafael.com.ar/empresa/el-pelucca-polleria/" TargetMode="External" Id="rId523" /><Relationship Type="http://schemas.openxmlformats.org/officeDocument/2006/relationships/hyperlink" Target="https://guiarsanrafael.com.ar/empresa/el-pinito-helados-artesanales/" TargetMode="External" Id="rId524" /><Relationship Type="http://schemas.openxmlformats.org/officeDocument/2006/relationships/hyperlink" Target="https://guiarsanrafael.com.ar/empresa/el-pollo-de-oro/" TargetMode="External" Id="rId525" /><Relationship Type="http://schemas.openxmlformats.org/officeDocument/2006/relationships/hyperlink" Target="https://guiarsanrafael.com.ar/empresa/el-rapido-motos/" TargetMode="External" Id="rId526" /><Relationship Type="http://schemas.openxmlformats.org/officeDocument/2006/relationships/hyperlink" Target="https://guiarsanrafael.com.ar/empresa/el-rincon-de-los-sabores/" TargetMode="External" Id="rId527" /><Relationship Type="http://schemas.openxmlformats.org/officeDocument/2006/relationships/hyperlink" Target="https://guiarsanrafael.com.ar/empresa/el-rincon-de-los-savores/" TargetMode="External" Id="rId528" /><Relationship Type="http://schemas.openxmlformats.org/officeDocument/2006/relationships/hyperlink" Target="https://guiarsanrafael.com.ar/empresa/el-tio-fenix-libreria/" TargetMode="External" Id="rId529" /><Relationship Type="http://schemas.openxmlformats.org/officeDocument/2006/relationships/hyperlink" Target="https://guiarsanrafael.com.ar/empresa/el-viejo-naranjo/" TargetMode="External" Id="rId530" /><Relationship Type="http://schemas.openxmlformats.org/officeDocument/2006/relationships/hyperlink" Target="https://guiarsanrafael.com.ar/empresa/eladio-guijarro/" TargetMode="External" Id="rId531" /><Relationship Type="http://schemas.openxmlformats.org/officeDocument/2006/relationships/hyperlink" Target="https://guiarsanrafael.com.ar/empresa/electricidad-sur-del-automotor/" TargetMode="External" Id="rId532" /><Relationship Type="http://schemas.openxmlformats.org/officeDocument/2006/relationships/hyperlink" Target="https://guiarsanrafael.com.ar/empresa/electricidad-villarruel/" TargetMode="External" Id="rId533" /><Relationship Type="http://schemas.openxmlformats.org/officeDocument/2006/relationships/hyperlink" Target="https://guiarsanrafael.com.ar/empresa/eliana-caballero/" TargetMode="External" Id="rId534" /><Relationship Type="http://schemas.openxmlformats.org/officeDocument/2006/relationships/hyperlink" Target="https://guiarsanrafael.com.ar/empresa/eliana-molina/" TargetMode="External" Id="rId535" /><Relationship Type="http://schemas.openxmlformats.org/officeDocument/2006/relationships/hyperlink" Target="https://guiarsanrafael.com.ar/empresa/elina-greco/" TargetMode="External" Id="rId536" /><Relationship Type="http://schemas.openxmlformats.org/officeDocument/2006/relationships/hyperlink" Target="https://guiarsanrafael.com.ar/empresa/elysee-perfumeria/" TargetMode="External" Id="rId537" /><Relationship Type="http://schemas.openxmlformats.org/officeDocument/2006/relationships/hyperlink" Target="https://guiarsanrafael.com.ar/empresa/ema-2-frutas-y-verduras/" TargetMode="External" Id="rId538" /><Relationship Type="http://schemas.openxmlformats.org/officeDocument/2006/relationships/hyperlink" Target="https://guiarsanrafael.com.ar/empresa/ema-frutas-y-verduras/" TargetMode="External" Id="rId539" /><Relationship Type="http://schemas.openxmlformats.org/officeDocument/2006/relationships/hyperlink" Target="https://guiarsanrafael.com.ar/empresa/emanuel-castro/" TargetMode="External" Id="rId540" /><Relationship Type="http://schemas.openxmlformats.org/officeDocument/2006/relationships/hyperlink" Target="https://guiarsanrafael.com.ar/empresa/emanuel-martinez/" TargetMode="External" Id="rId541" /><Relationship Type="http://schemas.openxmlformats.org/officeDocument/2006/relationships/hyperlink" Target="https://guiarsanrafael.com.ar/empresa/embragues-margui/" TargetMode="External" Id="rId542" /><Relationship Type="http://schemas.openxmlformats.org/officeDocument/2006/relationships/hyperlink" Target="https://guiarsanrafael.com.ar/empresa/emilia-paturlanne/" TargetMode="External" Id="rId543" /><Relationship Type="http://schemas.openxmlformats.org/officeDocument/2006/relationships/hyperlink" Target="https://guiarsanrafael.com.ar/empresa/emiliano-garcia-coloccini/" TargetMode="External" Id="rId544" /><Relationship Type="http://schemas.openxmlformats.org/officeDocument/2006/relationships/hyperlink" Target="https://guiarsanrafael.com.ar/empresa/emiliano-lafargue-prados/" TargetMode="External" Id="rId545" /><Relationship Type="http://schemas.openxmlformats.org/officeDocument/2006/relationships/hyperlink" Target="https://guiarsanrafael.com.ar/empresa/emiliano-sosa-pons/" TargetMode="External" Id="rId546" /><Relationship Type="http://schemas.openxmlformats.org/officeDocument/2006/relationships/hyperlink" Target="https://guiarsanrafael.com.ar/empresa/emilio-ramos-aromas-distribuidora/" TargetMode="External" Id="rId547" /><Relationship Type="http://schemas.openxmlformats.org/officeDocument/2006/relationships/hyperlink" Target="https://guiarsanrafael.com.ar/empresa/en-nuestra-salsa-pastalinda/" TargetMode="External" Id="rId548" /><Relationship Type="http://schemas.openxmlformats.org/officeDocument/2006/relationships/hyperlink" Target="https://guiarsanrafael.com.ar/empresa/encanto-floral/" TargetMode="External" Id="rId549" /><Relationship Type="http://schemas.openxmlformats.org/officeDocument/2006/relationships/hyperlink" Target="https://guiarsanrafael.com.ar/empresa/encinas-gustavo-elbio/" TargetMode="External" Id="rId550" /><Relationship Type="http://schemas.openxmlformats.org/officeDocument/2006/relationships/hyperlink" Target="https://guiarsanrafael.com.ar/empresa/enfermeria-maria-ines/" TargetMode="External" Id="rId551" /><Relationship Type="http://schemas.openxmlformats.org/officeDocument/2006/relationships/hyperlink" Target="https://guiarsanrafael.com.ar/empresa/enotria-tienda-de-bebidas/" TargetMode="External" Id="rId552" /><Relationship Type="http://schemas.openxmlformats.org/officeDocument/2006/relationships/hyperlink" Target="https://guiarsanrafael.com.ar/empresa/enrrique-alvarez/" TargetMode="External" Id="rId553" /><Relationship Type="http://schemas.openxmlformats.org/officeDocument/2006/relationships/hyperlink" Target="https://guiarsanrafael.com.ar/empresa/entre-dos-alfajores-premiun/" TargetMode="External" Id="rId554" /><Relationship Type="http://schemas.openxmlformats.org/officeDocument/2006/relationships/hyperlink" Target="https://guiarsanrafael.com.ar/empresa/epiko-cafe-restobar/" TargetMode="External" Id="rId555" /><Relationship Type="http://schemas.openxmlformats.org/officeDocument/2006/relationships/hyperlink" Target="https://guiarsanrafael.com.ar/empresa/epiko-casa-de-comidas/" TargetMode="External" Id="rId556" /><Relationship Type="http://schemas.openxmlformats.org/officeDocument/2006/relationships/hyperlink" Target="https://guiarsanrafael.com.ar/empresa/eraso-ana-elisa/" TargetMode="External" Id="rId557" /><Relationship Type="http://schemas.openxmlformats.org/officeDocument/2006/relationships/hyperlink" Target="https://guiarsanrafael.com.ar/empresa/erika-gabriela-schulz/" TargetMode="External" Id="rId558" /><Relationship Type="http://schemas.openxmlformats.org/officeDocument/2006/relationships/hyperlink" Target="https://guiarsanrafael.com.ar/empresa/escapes-cuyo/" TargetMode="External" Id="rId559" /><Relationship Type="http://schemas.openxmlformats.org/officeDocument/2006/relationships/hyperlink" Target="https://guiarsanrafael.com.ar/empresa/espina-belkis-melina/" TargetMode="External" Id="rId560" /><Relationship Type="http://schemas.openxmlformats.org/officeDocument/2006/relationships/hyperlink" Target="https://guiarsanrafael.com.ar/empresa/essence-estetica-integral/" TargetMode="External" Id="rId561" /><Relationship Type="http://schemas.openxmlformats.org/officeDocument/2006/relationships/hyperlink" Target="https://guiarsanrafael.com.ar/empresa/essencia-de-luna-stella/" TargetMode="External" Id="rId562" /><Relationship Type="http://schemas.openxmlformats.org/officeDocument/2006/relationships/hyperlink" Target="https://guiarsanrafael.com.ar/empresa/esteban-villalon/" TargetMode="External" Id="rId563" /><Relationship Type="http://schemas.openxmlformats.org/officeDocument/2006/relationships/hyperlink" Target="https://guiarsanrafael.com.ar/empresa/estela-ahumada-inmobiliaria/" TargetMode="External" Id="rId564" /><Relationship Type="http://schemas.openxmlformats.org/officeDocument/2006/relationships/hyperlink" Target="https://guiarsanrafael.com.ar/empresa/?type=ESTETICA%20Y%20TERAPIAS" TargetMode="External" Id="rId565" /><Relationship Type="http://schemas.openxmlformats.org/officeDocument/2006/relationships/hyperlink" Target="https://guiarsanrafael.com.ar/empresa/estilo-apart/" TargetMode="External" Id="rId566" /><Relationship Type="http://schemas.openxmlformats.org/officeDocument/2006/relationships/hyperlink" Target="https://guiarsanrafael.com.ar/empresa/estetica-laser-san-rafael/" TargetMode="External" Id="rId567" /><Relationship Type="http://schemas.openxmlformats.org/officeDocument/2006/relationships/hyperlink" Target="https://guiarsanrafael.com.ar/empresa/evangelina-picco/" TargetMode="External" Id="rId568" /><Relationship Type="http://schemas.openxmlformats.org/officeDocument/2006/relationships/hyperlink" Target="https://guiarsanrafael.com.ar/empresa/evolution-cell/" TargetMode="External" Id="rId569" /><Relationship Type="http://schemas.openxmlformats.org/officeDocument/2006/relationships/hyperlink" Target="https://guiarsanrafael.com.ar/empresa/14696/" TargetMode="External" Id="rId570" /><Relationship Type="http://schemas.openxmlformats.org/officeDocument/2006/relationships/hyperlink" Target="https://guiarsanrafael.com.ar/empresa/expreso-senderos/" TargetMode="External" Id="rId571" /><Relationship Type="http://schemas.openxmlformats.org/officeDocument/2006/relationships/hyperlink" Target="https://guiarsanrafael.com.ar/empresa/extremo-aventura-turismo/" TargetMode="External" Id="rId572" /><Relationship Type="http://schemas.openxmlformats.org/officeDocument/2006/relationships/hyperlink" Target="https://guiarsanrafael.com.ar/empresa/ezequiel-gimenez/" TargetMode="External" Id="rId573" /><Relationship Type="http://schemas.openxmlformats.org/officeDocument/2006/relationships/hyperlink" Target="https://guiarsanrafael.com.ar/empresa/fabian-ferreira/" TargetMode="External" Id="rId574" /><Relationship Type="http://schemas.openxmlformats.org/officeDocument/2006/relationships/hyperlink" Target="https://guiarsanrafael.com.ar/empresa/6348/" TargetMode="External" Id="rId575" /><Relationship Type="http://schemas.openxmlformats.org/officeDocument/2006/relationships/hyperlink" Target="https://guiarsanrafael.com.ar/empresa/fabian-sorvera/" TargetMode="External" Id="rId576" /><Relationship Type="http://schemas.openxmlformats.org/officeDocument/2006/relationships/hyperlink" Target="https://guiarsanrafael.com.ar/empresa/fabian-sosa-zingueria-metalurgica/" TargetMode="External" Id="rId577" /><Relationship Type="http://schemas.openxmlformats.org/officeDocument/2006/relationships/hyperlink" Target="https://guiarsanrafael.com.ar/empresa/fabio-m-gauna/" TargetMode="External" Id="rId578" /><Relationship Type="http://schemas.openxmlformats.org/officeDocument/2006/relationships/hyperlink" Target="https://guiarsanrafael.com.ar/empresa/fabio-rios-bobinados/" TargetMode="External" Id="rId579" /><Relationship Type="http://schemas.openxmlformats.org/officeDocument/2006/relationships/hyperlink" Target="https://guiarsanrafael.com.ar/empresa/facundo-boschin/" TargetMode="External" Id="rId580" /><Relationship Type="http://schemas.openxmlformats.org/officeDocument/2006/relationships/hyperlink" Target="https://guiarsanrafael.com.ar/empresa/fadeva-vidrios/" TargetMode="External" Id="rId581" /><Relationship Type="http://schemas.openxmlformats.org/officeDocument/2006/relationships/hyperlink" Target="https://guiarsanrafael.com.ar/empresa/failla-maria-jose/" TargetMode="External" Id="rId582" /><Relationship Type="http://schemas.openxmlformats.org/officeDocument/2006/relationships/hyperlink" Target="https://guiarsanrafael.com.ar/empresa/family-inn-hotel/" TargetMode="External" Id="rId583" /><Relationship Type="http://schemas.openxmlformats.org/officeDocument/2006/relationships/hyperlink" Target="https://guiarsanrafael.com.ar/empresa/fama-noelia-cecilia/" TargetMode="External" Id="rId584" /><Relationship Type="http://schemas.openxmlformats.org/officeDocument/2006/relationships/hyperlink" Target="https://guiarsanrafael.com.ar/empresa/faoro-mecanica-integral/" TargetMode="External" Id="rId585" /><Relationship Type="http://schemas.openxmlformats.org/officeDocument/2006/relationships/hyperlink" Target="https://guiarsanrafael.com.ar/empresa/farmacia-16-horas/" TargetMode="External" Id="rId586" /><Relationship Type="http://schemas.openxmlformats.org/officeDocument/2006/relationships/hyperlink" Target="https://guiarsanrafael.com.ar/empresa/farmacia-9-de-julio/" TargetMode="External" Id="rId587" /><Relationship Type="http://schemas.openxmlformats.org/officeDocument/2006/relationships/hyperlink" Target="https://guiarsanrafael.com.ar/empresa/farmacia-abbona/" TargetMode="External" Id="rId588" /><Relationship Type="http://schemas.openxmlformats.org/officeDocument/2006/relationships/hyperlink" Target="https://guiarsanrafael.com.ar/empresa/farmacia-adolfo-calle/" TargetMode="External" Id="rId589" /><Relationship Type="http://schemas.openxmlformats.org/officeDocument/2006/relationships/hyperlink" Target="https://guiarsanrafael.com.ar/empresa/farmacia-alberdi/" TargetMode="External" Id="rId590" /><Relationship Type="http://schemas.openxmlformats.org/officeDocument/2006/relationships/hyperlink" Target="https://guiarsanrafael.com.ar/empresa/farmacia-alem/" TargetMode="External" Id="rId591" /><Relationship Type="http://schemas.openxmlformats.org/officeDocument/2006/relationships/hyperlink" Target="https://guiarsanrafael.com.ar/empresa/farmacia-almafuerte/" TargetMode="External" Id="rId592" /><Relationship Type="http://schemas.openxmlformats.org/officeDocument/2006/relationships/hyperlink" Target="https://guiarsanrafael.com.ar/empresa/farmacia-amanecer/" TargetMode="External" Id="rId593" /><Relationship Type="http://schemas.openxmlformats.org/officeDocument/2006/relationships/hyperlink" Target="https://guiarsanrafael.com.ar/empresa/farmacia-andina-2/" TargetMode="External" Id="rId594" /><Relationship Type="http://schemas.openxmlformats.org/officeDocument/2006/relationships/hyperlink" Target="https://guiarsanrafael.com.ar/empresa/farmacia-andina/" TargetMode="External" Id="rId595" /><Relationship Type="http://schemas.openxmlformats.org/officeDocument/2006/relationships/hyperlink" Target="https://guiarsanrafael.com.ar/empresa/farmacia-atencio/" TargetMode="External" Id="rId596" /><Relationship Type="http://schemas.openxmlformats.org/officeDocument/2006/relationships/hyperlink" Target="https://guiarsanrafael.com.ar/empresa/farmacia-avenida/" TargetMode="External" Id="rId597" /><Relationship Type="http://schemas.openxmlformats.org/officeDocument/2006/relationships/hyperlink" Target="https://guiarsanrafael.com.ar/empresa/farmacia-balloffet/" TargetMode="External" Id="rId598" /><Relationship Type="http://schemas.openxmlformats.org/officeDocument/2006/relationships/hyperlink" Target="https://guiarsanrafael.com.ar/empresa/farmacia-balloffet-ii/" TargetMode="External" Id="rId599" /><Relationship Type="http://schemas.openxmlformats.org/officeDocument/2006/relationships/hyperlink" Target="https://guiarsanrafael.com.ar/empresa/farmacia-buenos-aires/" TargetMode="External" Id="rId600" /><Relationship Type="http://schemas.openxmlformats.org/officeDocument/2006/relationships/hyperlink" Target="https://guiarsanrafael.com.ar/empresa/farmacia-cabildo/" TargetMode="External" Id="rId601" /><Relationship Type="http://schemas.openxmlformats.org/officeDocument/2006/relationships/hyperlink" Target="https://guiarsanrafael.com.ar/empresa/farmacia-cerioni/" TargetMode="External" Id="rId602" /><Relationship Type="http://schemas.openxmlformats.org/officeDocument/2006/relationships/hyperlink" Target="https://guiarsanrafael.com.ar/empresa/farmacia-constitucion-%c2%b7-0260-442-4713/" TargetMode="External" Id="rId603" /><Relationship Type="http://schemas.openxmlformats.org/officeDocument/2006/relationships/hyperlink" Target="https://guiarsanrafael.com.ar/empresa/farmacia-cristo-rey/" TargetMode="External" Id="rId604" /><Relationship Type="http://schemas.openxmlformats.org/officeDocument/2006/relationships/hyperlink" Target="https://guiarsanrafael.com.ar/empresa/farmacia-cruz-del-sur/" TargetMode="External" Id="rId605" /><Relationship Type="http://schemas.openxmlformats.org/officeDocument/2006/relationships/hyperlink" Target="https://guiarsanrafael.com.ar/empresa/farmacia-del-angel/" TargetMode="External" Id="rId606" /><Relationship Type="http://schemas.openxmlformats.org/officeDocument/2006/relationships/hyperlink" Target="https://guiarsanrafael.com.ar/empresa/farmacia-del-carmen/" TargetMode="External" Id="rId607" /><Relationship Type="http://schemas.openxmlformats.org/officeDocument/2006/relationships/hyperlink" Target="https://guiarsanrafael.com.ar/empresa/farmacia-del-pueblo/" TargetMode="External" Id="rId608" /><Relationship Type="http://schemas.openxmlformats.org/officeDocument/2006/relationships/hyperlink" Target="https://guiarsanrafael.com.ar/empresa/farmacia-diamante/" TargetMode="External" Id="rId609" /><Relationship Type="http://schemas.openxmlformats.org/officeDocument/2006/relationships/hyperlink" Target="https://guiarsanrafael.com.ar/empresa/faramacia-difabio/" TargetMode="External" Id="rId610" /><Relationship Type="http://schemas.openxmlformats.org/officeDocument/2006/relationships/hyperlink" Target="https://guiarsanrafael.com.ar/empresa/farmacia-el-salto/" TargetMode="External" Id="rId611" /><Relationship Type="http://schemas.openxmlformats.org/officeDocument/2006/relationships/hyperlink" Target="https://guiarsanrafael.com.ar/empresa/farmacia-espana/" TargetMode="External" Id="rId612" /><Relationship Type="http://schemas.openxmlformats.org/officeDocument/2006/relationships/hyperlink" Target="https://guiarsanrafael.com.ar/empresa/farmacia-florida/" TargetMode="External" Id="rId613" /><Relationship Type="http://schemas.openxmlformats.org/officeDocument/2006/relationships/hyperlink" Target="https://guiarsanrafael.com.ar/empresa/farmacia-grisel/" TargetMode="External" Id="rId614" /><Relationship Type="http://schemas.openxmlformats.org/officeDocument/2006/relationships/hyperlink" Target="https://guiarsanrafael.com.ar/empresa/farmacia-independencia/" TargetMode="External" Id="rId615" /><Relationship Type="http://schemas.openxmlformats.org/officeDocument/2006/relationships/hyperlink" Target="https://guiarsanrafael.com.ar/empresa/farmacia-la-terminal-2/" TargetMode="External" Id="rId616" /><Relationship Type="http://schemas.openxmlformats.org/officeDocument/2006/relationships/hyperlink" Target="https://guiarsanrafael.com.ar/empresa/farmacia-la-terminal/" TargetMode="External" Id="rId617" /><Relationship Type="http://schemas.openxmlformats.org/officeDocument/2006/relationships/hyperlink" Target="https://guiarsanrafael.com.ar/empresa/farmacia-liseno/" TargetMode="External" Id="rId618" /><Relationship Type="http://schemas.openxmlformats.org/officeDocument/2006/relationships/hyperlink" Target="https://guiarsanrafael.com.ar/empresa/farmacia-los-sauces/" TargetMode="External" Id="rId619" /><Relationship Type="http://schemas.openxmlformats.org/officeDocument/2006/relationships/hyperlink" Target="https://guiarsanrafael.com.ar/empresa/farmacia-luz-y-vida/" TargetMode="External" Id="rId620" /><Relationship Type="http://schemas.openxmlformats.org/officeDocument/2006/relationships/hyperlink" Target="https://guiarsanrafael.com.ar/empresa/farmacia-marilyn/" TargetMode="External" Id="rId621" /><Relationship Type="http://schemas.openxmlformats.org/officeDocument/2006/relationships/hyperlink" Target="https://guiarsanrafael.com.ar/empresa/farmacia-mayo/" TargetMode="External" Id="rId622" /><Relationship Type="http://schemas.openxmlformats.org/officeDocument/2006/relationships/hyperlink" Target="https://guiarsanrafael.com.ar/empresa/farmacia-moreno/" TargetMode="External" Id="rId623" /><Relationship Type="http://schemas.openxmlformats.org/officeDocument/2006/relationships/hyperlink" Target="https://guiarsanrafael.com.ar/empresa/farmacia-munoz/" TargetMode="External" Id="rId624" /><Relationship Type="http://schemas.openxmlformats.org/officeDocument/2006/relationships/hyperlink" Target="https://guiarsanrafael.com.ar/empresa/farmacia-pellegrini/" TargetMode="External" Id="rId625" /><Relationship Type="http://schemas.openxmlformats.org/officeDocument/2006/relationships/hyperlink" Target="https://guiarsanrafael.com.ar/empresa/farmacia-plaza/" TargetMode="External" Id="rId626" /><Relationship Type="http://schemas.openxmlformats.org/officeDocument/2006/relationships/hyperlink" Target="https://guiarsanrafael.com.ar/empresa/farmacia-rivadavia/" TargetMode="External" Id="rId627" /><Relationship Type="http://schemas.openxmlformats.org/officeDocument/2006/relationships/hyperlink" Target="https://guiarsanrafael.com.ar/empresa/farmacia-roca/" TargetMode="External" Id="rId628" /><Relationship Type="http://schemas.openxmlformats.org/officeDocument/2006/relationships/hyperlink" Target="https://guiarsanrafael.com.ar/empresa/farmacia-san-andres/" TargetMode="External" Id="rId629" /><Relationship Type="http://schemas.openxmlformats.org/officeDocument/2006/relationships/hyperlink" Target="https://guiarsanrafael.com.ar/empresa/farmacia-san-juan/" TargetMode="External" Id="rId630" /><Relationship Type="http://schemas.openxmlformats.org/officeDocument/2006/relationships/hyperlink" Target="https://guiarsanrafael.com.ar/empresa/farmacia-san-martin-farmacia-%c2%b7-0260/" TargetMode="External" Id="rId631" /><Relationship Type="http://schemas.openxmlformats.org/officeDocument/2006/relationships/hyperlink" Target="https://guiarsanrafael.com.ar/empresa/farmacia-san-rafael-1/" TargetMode="External" Id="rId632" /><Relationship Type="http://schemas.openxmlformats.org/officeDocument/2006/relationships/hyperlink" Target="https://guiarsanrafael.com.ar/empresa/farmacia-san-rafael-2/" TargetMode="External" Id="rId633" /><Relationship Type="http://schemas.openxmlformats.org/officeDocument/2006/relationships/hyperlink" Target="https://guiarsanrafael.com.ar/empresa/farmacia-san-rafael-3/" TargetMode="External" Id="rId634" /><Relationship Type="http://schemas.openxmlformats.org/officeDocument/2006/relationships/hyperlink" Target="https://guiarsanrafael.com.ar/empresa/farmacia-santa-fe-farmacia-%c2%b7-0260/" TargetMode="External" Id="rId635" /><Relationship Type="http://schemas.openxmlformats.org/officeDocument/2006/relationships/hyperlink" Target="https://guiarsanrafael.com.ar/empresa/farmacia-sarmiento/" TargetMode="External" Id="rId636" /><Relationship Type="http://schemas.openxmlformats.org/officeDocument/2006/relationships/hyperlink" Target="https://guiarsanrafael.com.ar/empresa/farmacia-sini/" TargetMode="External" Id="rId637" /><Relationship Type="http://schemas.openxmlformats.org/officeDocument/2006/relationships/hyperlink" Target="https://guiarsanrafael.com.ar/empresa/farmacia-unimev/" TargetMode="External" Id="rId638" /><Relationship Type="http://schemas.openxmlformats.org/officeDocument/2006/relationships/hyperlink" Target="https://guiarsanrafael.com.ar/empresa/farmacia-zorrilla/" TargetMode="External" Id="rId639" /><Relationship Type="http://schemas.openxmlformats.org/officeDocument/2006/relationships/hyperlink" Target="https://guiarsanrafael.com.ar/empresa/farmcacia-16-horas-dean-funes/" TargetMode="External" Id="rId640" /><Relationship Type="http://schemas.openxmlformats.org/officeDocument/2006/relationships/hyperlink" Target="https://guiarsanrafael.com.ar/empresa/fas-electricidad/" TargetMode="External" Id="rId641" /><Relationship Type="http://schemas.openxmlformats.org/officeDocument/2006/relationships/hyperlink" Target="https://guiarsanrafael.com.ar/empresa/fatmax-aleaga/" TargetMode="External" Id="rId642" /><Relationship Type="http://schemas.openxmlformats.org/officeDocument/2006/relationships/hyperlink" Target="https://guiarsanrafael.com.ar/empresa/fausto-cerruti/" TargetMode="External" Id="rId643" /><Relationship Type="http://schemas.openxmlformats.org/officeDocument/2006/relationships/hyperlink" Target="https://guiarsanrafael.com.ar/empresa/fax-hiperlibreria/" TargetMode="External" Id="rId644" /><Relationship Type="http://schemas.openxmlformats.org/officeDocument/2006/relationships/hyperlink" Target="https://guiarsanrafael.com.ar/empresa/featyki-instituto-terapeutico/" TargetMode="External" Id="rId645" /><Relationship Type="http://schemas.openxmlformats.org/officeDocument/2006/relationships/hyperlink" Target="https://guiarsanrafael.com.ar/empresa/federico-perez-pesce/" TargetMode="External" Id="rId646" /><Relationship Type="http://schemas.openxmlformats.org/officeDocument/2006/relationships/hyperlink" Target="https://guiarsanrafael.com.ar/empresa/feisal-alfajores-artesanales/" TargetMode="External" Id="rId647" /><Relationship Type="http://schemas.openxmlformats.org/officeDocument/2006/relationships/hyperlink" Target="https://guiarsanrafael.com.ar/empresa/feli-alimentos-para-celiacos/" TargetMode="External" Id="rId648" /><Relationship Type="http://schemas.openxmlformats.org/officeDocument/2006/relationships/hyperlink" Target="https://guiarsanrafael.com.ar/empresa/felisa-terrero/" TargetMode="External" Id="rId649" /><Relationship Type="http://schemas.openxmlformats.org/officeDocument/2006/relationships/hyperlink" Target="https://guiarsanrafael.com.ar/empresa/fenix-libreria/" TargetMode="External" Id="rId650" /><Relationship Type="http://schemas.openxmlformats.org/officeDocument/2006/relationships/hyperlink" Target="https://guiarsanrafael.com.ar/empresa/fernado-fuentes/" TargetMode="External" Id="rId651" /><Relationship Type="http://schemas.openxmlformats.org/officeDocument/2006/relationships/hyperlink" Target="https://guiarsanrafael.com.ar/empresa/fernandez-gerardo-antonio/" TargetMode="External" Id="rId652" /><Relationship Type="http://schemas.openxmlformats.org/officeDocument/2006/relationships/hyperlink" Target="https://guiarsanrafael.com.ar/empresa/fernando-arancibia/" TargetMode="External" Id="rId653" /><Relationship Type="http://schemas.openxmlformats.org/officeDocument/2006/relationships/hyperlink" Target="https://guiarsanrafael.com.ar/empresa/fernando-sutter/" TargetMode="External" Id="rId654" /><Relationship Type="http://schemas.openxmlformats.org/officeDocument/2006/relationships/hyperlink" Target="https://guiarsanrafael.com.ar/empresa/fernandez-scarponi-anabel/" TargetMode="External" Id="rId655" /><Relationship Type="http://schemas.openxmlformats.org/officeDocument/2006/relationships/hyperlink" Target="https://guiarsanrafael.com.ar/empresa/ferreteria-las-chicas/" TargetMode="External" Id="rId656" /><Relationship Type="http://schemas.openxmlformats.org/officeDocument/2006/relationships/hyperlink" Target="https://guiarsanrafael.com.ar/empresa/ferreteria-moya/" TargetMode="External" Id="rId657" /><Relationship Type="http://schemas.openxmlformats.org/officeDocument/2006/relationships/hyperlink" Target="https://guiarsanrafael.com.ar/empresa/ferreteria-san-martin/" TargetMode="External" Id="rId658" /><Relationship Type="http://schemas.openxmlformats.org/officeDocument/2006/relationships/hyperlink" Target="https://guiarsanrafael.com.ar/empresa/ferreteria-villalobos-2/" TargetMode="External" Id="rId659" /><Relationship Type="http://schemas.openxmlformats.org/officeDocument/2006/relationships/hyperlink" Target="https://guiarsanrafael.com.ar/empresa/ferreteria-todo-un-palo/" TargetMode="External" Id="rId660" /><Relationship Type="http://schemas.openxmlformats.org/officeDocument/2006/relationships/hyperlink" Target="https://guiarsanrafael.com.ar/empresa/ferreteria-yrigoyen/" TargetMode="External" Id="rId661" /><Relationship Type="http://schemas.openxmlformats.org/officeDocument/2006/relationships/hyperlink" Target="https://guiarsanrafael.com.ar/empresa/fertrac-s-a-fernando-terroba/" TargetMode="External" Id="rId662" /><Relationship Type="http://schemas.openxmlformats.org/officeDocument/2006/relationships/hyperlink" Target="https://guiarsanrafael.com.ar/empresa/fg-servicios/" TargetMode="External" Id="rId663" /><Relationship Type="http://schemas.openxmlformats.org/officeDocument/2006/relationships/hyperlink" Target="https://guiarsanrafael.com.ar/empresa/fgh/" TargetMode="External" Id="rId664" /><Relationship Type="http://schemas.openxmlformats.org/officeDocument/2006/relationships/hyperlink" Target="https://guiarsanrafael.com.ar/empresa/fiambreria-argento/" TargetMode="External" Id="rId665" /><Relationship Type="http://schemas.openxmlformats.org/officeDocument/2006/relationships/hyperlink" Target="https://guiarsanrafael.com.ar/empresa/fiamma-estetica/" TargetMode="External" Id="rId666" /><Relationship Type="http://schemas.openxmlformats.org/officeDocument/2006/relationships/hyperlink" Target="https://guiarsanrafael.com.ar/empresa/figueroa-scandellafabiola-vanesa/" TargetMode="External" Id="rId667" /><Relationship Type="http://schemas.openxmlformats.org/officeDocument/2006/relationships/hyperlink" Target="https://guiarsanrafael.com.ar/empresa/finca-intimayu/" TargetMode="External" Id="rId668" /><Relationship Type="http://schemas.openxmlformats.org/officeDocument/2006/relationships/hyperlink" Target="https://guiarsanrafael.com.ar/empresa/finca-la-escondida/" TargetMode="External" Id="rId669" /><Relationship Type="http://schemas.openxmlformats.org/officeDocument/2006/relationships/hyperlink" Target="https://guiarsanrafael.com.ar/empresa/fiochettimayra-yanina/" TargetMode="External" Id="rId670" /><Relationship Type="http://schemas.openxmlformats.org/officeDocument/2006/relationships/hyperlink" Target="https://guiarsanrafael.com.ar/empresa/fit-club/" TargetMode="External" Id="rId671" /><Relationship Type="http://schemas.openxmlformats.org/officeDocument/2006/relationships/hyperlink" Target="https://guiarsanrafael.com.ar/empresa/flavio-morganti/" TargetMode="External" Id="rId672" /><Relationship Type="http://schemas.openxmlformats.org/officeDocument/2006/relationships/hyperlink" Target="https://guiarsanrafael.com.ar/empresa/fliguer-albornoz-guillermo-andres/" TargetMode="External" Id="rId673" /><Relationship Type="http://schemas.openxmlformats.org/officeDocument/2006/relationships/hyperlink" Target="https://guiarsanrafael.com.ar/empresa/florencia-alossi/" TargetMode="External" Id="rId674" /><Relationship Type="http://schemas.openxmlformats.org/officeDocument/2006/relationships/hyperlink" Target="https://guiarsanrafael.com.ar/empresa/florencia-diaz/" TargetMode="External" Id="rId675" /><Relationship Type="http://schemas.openxmlformats.org/officeDocument/2006/relationships/hyperlink" Target="https://guiarsanrafael.com.ar/empresa/florencia-julio/" TargetMode="External" Id="rId676" /><Relationship Type="http://schemas.openxmlformats.org/officeDocument/2006/relationships/hyperlink" Target="https://guiarsanrafael.com.ar/empresa/florencia-quiroga-estilista/" TargetMode="External" Id="rId677" /><Relationship Type="http://schemas.openxmlformats.org/officeDocument/2006/relationships/hyperlink" Target="https://guiarsanrafael.com.ar/empresa/florencia-romani/" TargetMode="External" Id="rId678" /><Relationship Type="http://schemas.openxmlformats.org/officeDocument/2006/relationships/hyperlink" Target="https://guiarsanrafael.com.ar/empresa/florencia-sanchez/" TargetMode="External" Id="rId679" /><Relationship Type="http://schemas.openxmlformats.org/officeDocument/2006/relationships/hyperlink" Target="https://guiarsanrafael.com.ar/empresa/florencia-vizcaino/" TargetMode="External" Id="rId680" /><Relationship Type="http://schemas.openxmlformats.org/officeDocument/2006/relationships/hyperlink" Target="https://guiarsanrafael.com.ar/empresa/flores-suhe/" TargetMode="External" Id="rId681" /><Relationship Type="http://schemas.openxmlformats.org/officeDocument/2006/relationships/hyperlink" Target="https://guiarsanrafael.com.ar/empresa/fmg-lubricantes/" TargetMode="External" Id="rId682" /><Relationship Type="http://schemas.openxmlformats.org/officeDocument/2006/relationships/hyperlink" Target="https://guiarsanrafael.com.ar/empresa/fmg-racing-cars/" TargetMode="External" Id="rId683" /><Relationship Type="http://schemas.openxmlformats.org/officeDocument/2006/relationships/hyperlink" Target="https://guiarsanrafael.com.ar/empresa/fondo-de-bikini-acuario/" TargetMode="External" Id="rId684" /><Relationship Type="http://schemas.openxmlformats.org/officeDocument/2006/relationships/hyperlink" Target="https://guiarsanrafael.com.ar/empresa/food-park/" TargetMode="External" Id="rId685" /><Relationship Type="http://schemas.openxmlformats.org/officeDocument/2006/relationships/hyperlink" Target="https://guiarsanrafael.com.ar/empresa/forsat-felipe-andres/" TargetMode="External" Id="rId686" /><Relationship Type="http://schemas.openxmlformats.org/officeDocument/2006/relationships/hyperlink" Target="https://guiarsanrafael.com.ar/empresa/fracaro-pablo-rafael/" TargetMode="External" Id="rId687" /><Relationship Type="http://schemas.openxmlformats.org/officeDocument/2006/relationships/hyperlink" Target="https://guiarsanrafael.com.ar/empresa/fradinagua-s-r-l/" TargetMode="External" Id="rId688" /><Relationship Type="http://schemas.openxmlformats.org/officeDocument/2006/relationships/hyperlink" Target="https://guiarsanrafael.com.ar/empresa/francisco-javier-gerardi/" TargetMode="External" Id="rId689" /><Relationship Type="http://schemas.openxmlformats.org/officeDocument/2006/relationships/hyperlink" Target="https://guiarsanrafael.com.ar/empresa/francisco-pedrosa-e-hijo/" TargetMode="External" Id="rId690" /><Relationship Type="http://schemas.openxmlformats.org/officeDocument/2006/relationships/hyperlink" Target="https://guiarsanrafael.com.ar/empresa/franco-bellomo/" TargetMode="External" Id="rId691" /><Relationship Type="http://schemas.openxmlformats.org/officeDocument/2006/relationships/hyperlink" Target="https://guiarsanrafael.com.ar/empresa/franco-rosso/" TargetMode="External" Id="rId692" /><Relationship Type="http://schemas.openxmlformats.org/officeDocument/2006/relationships/hyperlink" Target="https://guiarsanrafael.com.ar/empresa/franco-sabio/" TargetMode="External" Id="rId693" /><Relationship Type="http://schemas.openxmlformats.org/officeDocument/2006/relationships/hyperlink" Target="https://guiarsanrafael.com.ar/empresa/franco-talley/" TargetMode="External" Id="rId694" /><Relationship Type="http://schemas.openxmlformats.org/officeDocument/2006/relationships/hyperlink" Target="https://guiarsanrafael.com.ar/empresa/frenos-bocchia/" TargetMode="External" Id="rId695" /><Relationship Type="http://schemas.openxmlformats.org/officeDocument/2006/relationships/hyperlink" Target="https://guiarsanrafael.com.ar/empresa/frida-estetica-unisex/" TargetMode="External" Id="rId696" /><Relationship Type="http://schemas.openxmlformats.org/officeDocument/2006/relationships/hyperlink" Target="https://guiarsanrafael.com.ar/empresa/frise-pack-bolsas-ecologicas/" TargetMode="External" Id="rId697" /><Relationship Type="http://schemas.openxmlformats.org/officeDocument/2006/relationships/hyperlink" Target="https://guiarsanrafael.com.ar/empresa/fruscella-leslie-vanina/" TargetMode="External" Id="rId698" /><Relationship Type="http://schemas.openxmlformats.org/officeDocument/2006/relationships/hyperlink" Target="https://guiarsanrafael.com.ar/empresa/fuentes-maria-noelia/" TargetMode="External" Id="rId699" /><Relationship Type="http://schemas.openxmlformats.org/officeDocument/2006/relationships/hyperlink" Target="https://guiarsanrafael.com.ar/empresa/full-cel-telefonia-y-accesorios/" TargetMode="External" Id="rId700" /><Relationship Type="http://schemas.openxmlformats.org/officeDocument/2006/relationships/hyperlink" Target="https://guiarsanrafael.com.ar/empresa/full-track/" TargetMode="External" Id="rId701" /><Relationship Type="http://schemas.openxmlformats.org/officeDocument/2006/relationships/hyperlink" Target="https://guiarsanrafael.com.ar/empresa/fatima-rossi/" TargetMode="External" Id="rId702" /><Relationship Type="http://schemas.openxmlformats.org/officeDocument/2006/relationships/hyperlink" Target="https://guiarsanrafael.com.ar/empresa/gabriel-ferrara/" TargetMode="External" Id="rId703" /><Relationship Type="http://schemas.openxmlformats.org/officeDocument/2006/relationships/hyperlink" Target="https://guiarsanrafael.com.ar/empresa/gabriela-funes/" TargetMode="External" Id="rId704" /><Relationship Type="http://schemas.openxmlformats.org/officeDocument/2006/relationships/hyperlink" Target="https://guiarsanrafael.com.ar/empresa/gabriela-gamboa/" TargetMode="External" Id="rId705" /><Relationship Type="http://schemas.openxmlformats.org/officeDocument/2006/relationships/hyperlink" Target="https://guiarsanrafael.com.ar/empresa/gabriela-miron/" TargetMode="External" Id="rId706" /><Relationship Type="http://schemas.openxmlformats.org/officeDocument/2006/relationships/hyperlink" Target="https://guiarsanrafael.com.ar/empresa/gabriela-molina/" TargetMode="External" Id="rId707" /><Relationship Type="http://schemas.openxmlformats.org/officeDocument/2006/relationships/hyperlink" Target="https://guiarsanrafael.com.ar/empresa/gahennd-gastroenterologia/" TargetMode="External" Id="rId708" /><Relationship Type="http://schemas.openxmlformats.org/officeDocument/2006/relationships/hyperlink" Target="https://guiarsanrafael.com.ar/empresa/7588/" TargetMode="External" Id="rId709" /><Relationship Type="http://schemas.openxmlformats.org/officeDocument/2006/relationships/hyperlink" Target="https://guiarsanrafael.com.ar/empresa/ganaberdi/" TargetMode="External" Id="rId710" /><Relationship Type="http://schemas.openxmlformats.org/officeDocument/2006/relationships/hyperlink" Target="https://guiarsanrafael.com.ar/empresa/garcia-duenas-amoblamiento-integral-de-oficinas/" TargetMode="External" Id="rId711" /><Relationship Type="http://schemas.openxmlformats.org/officeDocument/2006/relationships/hyperlink" Target="https://guiarsanrafael.com.ar/empresa/garcia-miras-natalia-carolina/" TargetMode="External" Id="rId712" /><Relationship Type="http://schemas.openxmlformats.org/officeDocument/2006/relationships/hyperlink" Target="https://guiarsanrafael.com.ar/empresa/garcia-moto-racing/" TargetMode="External" Id="rId713" /><Relationship Type="http://schemas.openxmlformats.org/officeDocument/2006/relationships/hyperlink" Target="https://guiarsanrafael.com.ar/empresa/gardenia-el-lugar-de-las-grandes-marcas/" TargetMode="External" Id="rId714" /><Relationship Type="http://schemas.openxmlformats.org/officeDocument/2006/relationships/hyperlink" Target="https://guiarsanrafael.com.ar/empresa/gasmar-centro-de-servicios/" TargetMode="External" Id="rId715" /><Relationship Type="http://schemas.openxmlformats.org/officeDocument/2006/relationships/hyperlink" Target="https://guiarsanrafael.com.ar/empresa/gatica-maria-cecilia/" TargetMode="External" Id="rId716" /><Relationship Type="http://schemas.openxmlformats.org/officeDocument/2006/relationships/hyperlink" Target="https://guiarsanrafael.com.ar/empresa/gattas-maria-belen/" TargetMode="External" Id="rId717" /><Relationship Type="http://schemas.openxmlformats.org/officeDocument/2006/relationships/hyperlink" Target="https://guiarsanrafael.com.ar/empresa/ge-fit-gimnasio/" TargetMode="External" Id="rId718" /><Relationship Type="http://schemas.openxmlformats.org/officeDocument/2006/relationships/hyperlink" Target="https://guiarsanrafael.com.ar/empresa/genova-salud/" TargetMode="External" Id="rId719" /><Relationship Type="http://schemas.openxmlformats.org/officeDocument/2006/relationships/hyperlink" Target="https://guiarsanrafael.com.ar/empresa/genovesi-eduardo-marcelo/" TargetMode="External" Id="rId720" /><Relationship Type="http://schemas.openxmlformats.org/officeDocument/2006/relationships/hyperlink" Target="https://guiarsanrafael.com.ar/empresa/gerar/" TargetMode="External" Id="rId721" /><Relationship Type="http://schemas.openxmlformats.org/officeDocument/2006/relationships/hyperlink" Target="https://guiarsanrafael.com.ar/empresa/gerar-alimentos-balanceados/" TargetMode="External" Id="rId722" /><Relationship Type="http://schemas.openxmlformats.org/officeDocument/2006/relationships/hyperlink" Target="https://guiarsanrafael.com.ar/empresa/gerar-alimentos-balanceados-casa-central/" TargetMode="External" Id="rId723" /><Relationship Type="http://schemas.openxmlformats.org/officeDocument/2006/relationships/hyperlink" Target="https://guiarsanrafael.com.ar/empresa/gerardi-maria-laura/" TargetMode="External" Id="rId724" /><Relationship Type="http://schemas.openxmlformats.org/officeDocument/2006/relationships/hyperlink" Target="https://guiarsanrafael.com.ar/empresa/german-a-siracusa/" TargetMode="External" Id="rId725" /><Relationship Type="http://schemas.openxmlformats.org/officeDocument/2006/relationships/hyperlink" Target="https://guiarsanrafael.com.ar/empresa/geronimo-magnenat/" TargetMode="External" Id="rId726" /><Relationship Type="http://schemas.openxmlformats.org/officeDocument/2006/relationships/hyperlink" Target="https://guiarsanrafael.com.ar/empresa/gia-gargantini-arquitectura/" TargetMode="External" Id="rId727" /><Relationship Type="http://schemas.openxmlformats.org/officeDocument/2006/relationships/hyperlink" Target="https://guiarsanrafael.com.ar/empresa/giambenedetti-giuliana/" TargetMode="External" Id="rId728" /><Relationship Type="http://schemas.openxmlformats.org/officeDocument/2006/relationships/hyperlink" Target="https://guiarsanrafael.com.ar/empresa/gimnasio-lealtad-2/" TargetMode="External" Id="rId729" /><Relationship Type="http://schemas.openxmlformats.org/officeDocument/2006/relationships/hyperlink" Target="https://guiarsanrafael.com.ar/empresa/gimnasio-lealtad/" TargetMode="External" Id="rId730" /><Relationship Type="http://schemas.openxmlformats.org/officeDocument/2006/relationships/hyperlink" Target="https://guiarsanrafael.com.ar/empresa/giraudi-cano-lorena-gisela/" TargetMode="External" Id="rId731" /><Relationship Type="http://schemas.openxmlformats.org/officeDocument/2006/relationships/hyperlink" Target="https://guiarsanrafael.com.ar/empresa/giraudo-debora-cecilia/" TargetMode="External" Id="rId732" /><Relationship Type="http://schemas.openxmlformats.org/officeDocument/2006/relationships/hyperlink" Target="https://guiarsanrafael.com.ar/empresa/gisela-canizares/" TargetMode="External" Id="rId733" /><Relationship Type="http://schemas.openxmlformats.org/officeDocument/2006/relationships/hyperlink" Target="https://guiarsanrafael.com.ar/empresa/gisela-cerda/" TargetMode="External" Id="rId734" /><Relationship Type="http://schemas.openxmlformats.org/officeDocument/2006/relationships/hyperlink" Target="https://guiarsanrafael.com.ar/empresa/gitana-fiambres-bebidas/" TargetMode="External" Id="rId735" /><Relationship Type="http://schemas.openxmlformats.org/officeDocument/2006/relationships/hyperlink" Target="https://guiarsanrafael.com.ar/empresa/giusto-florencia/" TargetMode="External" Id="rId736" /><Relationship Type="http://schemas.openxmlformats.org/officeDocument/2006/relationships/hyperlink" Target="https://guiarsanrafael.com.ar/empresa/glamar-perfumeria/" TargetMode="External" Id="rId737" /><Relationship Type="http://schemas.openxmlformats.org/officeDocument/2006/relationships/hyperlink" Target="https://guiarsanrafael.com.ar/empresa/global-climatizacion/" TargetMode="External" Id="rId738" /><Relationship Type="http://schemas.openxmlformats.org/officeDocument/2006/relationships/hyperlink" Target="https://guiarsanrafael.com.ar/empresa/global-english-institute/" TargetMode="External" Id="rId739" /><Relationship Type="http://schemas.openxmlformats.org/officeDocument/2006/relationships/hyperlink" Target="https://guiarsanrafael.com.ar/empresa/go-autos/" TargetMode="External" Id="rId740" /><Relationship Type="http://schemas.openxmlformats.org/officeDocument/2006/relationships/hyperlink" Target="https://guiarsanrafael.com.ar/empresa/go-bar-san-rafael/" TargetMode="External" Id="rId741" /><Relationship Type="http://schemas.openxmlformats.org/officeDocument/2006/relationships/hyperlink" Target="https://guiarsanrafael.com.ar/empresa/goma-sur-s-r-l/" TargetMode="External" Id="rId742" /><Relationship Type="http://schemas.openxmlformats.org/officeDocument/2006/relationships/hyperlink" Target="https://guiarsanrafael.com.ar/empresa/gomeria-iselin/" TargetMode="External" Id="rId743" /><Relationship Type="http://schemas.openxmlformats.org/officeDocument/2006/relationships/hyperlink" Target="https://guiarsanrafael.com.ar/empresa/gomeria-los-nietos/" TargetMode="External" Id="rId744" /><Relationship Type="http://schemas.openxmlformats.org/officeDocument/2006/relationships/hyperlink" Target="https://guiarsanrafael.com.ar/empresa/gomez-analia-liliana/" TargetMode="External" Id="rId745" /><Relationship Type="http://schemas.openxmlformats.org/officeDocument/2006/relationships/hyperlink" Target="https://guiarsanrafael.com.ar/empresa/gonzalez-cecilia-valeria/" TargetMode="External" Id="rId746" /><Relationship Type="http://schemas.openxmlformats.org/officeDocument/2006/relationships/hyperlink" Target="https://guiarsanrafael.com.ar/empresa/gonzalez-maria-eugenia/" TargetMode="External" Id="rId747" /><Relationship Type="http://schemas.openxmlformats.org/officeDocument/2006/relationships/hyperlink" Target="https://guiarsanrafael.com.ar/empresa/gonzalo-a-torrico-rodriguez/" TargetMode="External" Id="rId748" /><Relationship Type="http://schemas.openxmlformats.org/officeDocument/2006/relationships/hyperlink" Target="https://guiarsanrafael.com.ar/empresa/gonzalo-della-fazia/" TargetMode="External" Id="rId749" /><Relationship Type="http://schemas.openxmlformats.org/officeDocument/2006/relationships/hyperlink" Target="https://guiarsanrafael.com.ar/empresa/gonzalo-herrera/" TargetMode="External" Id="rId750" /><Relationship Type="http://schemas.openxmlformats.org/officeDocument/2006/relationships/hyperlink" Target="https://guiarsanrafael.com.ar/empresa/5995/" TargetMode="External" Id="rId751" /><Relationship Type="http://schemas.openxmlformats.org/officeDocument/2006/relationships/hyperlink" Target="https://guiarsanrafael.com.ar/empresa/gorilla-grow-shop/" TargetMode="External" Id="rId752" /><Relationship Type="http://schemas.openxmlformats.org/officeDocument/2006/relationships/hyperlink" Target="https://guiarsanrafael.com.ar/empresa/gp-servicios-medicos/" TargetMode="External" Id="rId753" /><Relationship Type="http://schemas.openxmlformats.org/officeDocument/2006/relationships/hyperlink" Target="https://guiarsanrafael.com.ar/empresa/gprs-seguridad-electronica-global/" TargetMode="External" Id="rId754" /><Relationship Type="http://schemas.openxmlformats.org/officeDocument/2006/relationships/hyperlink" Target="https://guiarsanrafael.com.ar/empresa/6932/" TargetMode="External" Id="rId755" /><Relationship Type="http://schemas.openxmlformats.org/officeDocument/2006/relationships/hyperlink" Target="https://guiarsanrafael.com.ar/empresa/grafica-gramajo/" TargetMode="External" Id="rId756" /><Relationship Type="http://schemas.openxmlformats.org/officeDocument/2006/relationships/hyperlink" Target="https://guiarsanrafael.com.ar/empresa/grafica-munoz/" TargetMode="External" Id="rId757" /><Relationship Type="http://schemas.openxmlformats.org/officeDocument/2006/relationships/hyperlink" Target="https://guiarsanrafael.com.ar/empresa/grand-estate-s-a/" TargetMode="External" Id="rId758" /><Relationship Type="http://schemas.openxmlformats.org/officeDocument/2006/relationships/hyperlink" Target="https://guiarsanrafael.com.ar/empresa/grandiet-nicolas/" TargetMode="External" Id="rId759" /><Relationship Type="http://schemas.openxmlformats.org/officeDocument/2006/relationships/hyperlink" Target="https://guiarsanrafael.com.ar/empresa/granelia-keto-low-carb/" TargetMode="External" Id="rId760" /><Relationship Type="http://schemas.openxmlformats.org/officeDocument/2006/relationships/hyperlink" Target="https://guiarsanrafael.com.ar/empresa/granollers-ramiro-german/" TargetMode="External" Id="rId761" /><Relationship Type="http://schemas.openxmlformats.org/officeDocument/2006/relationships/hyperlink" Target="https://guiarsanrafael.com.ar/empresa/grido-helados/" TargetMode="External" Id="rId762" /><Relationship Type="http://schemas.openxmlformats.org/officeDocument/2006/relationships/hyperlink" Target="https://guiarsanrafael.com.ar/empresa/grido-helados-2/" TargetMode="External" Id="rId763" /><Relationship Type="http://schemas.openxmlformats.org/officeDocument/2006/relationships/hyperlink" Target="https://guiarsanrafael.com.ar/empresa/grossa-mora/" TargetMode="External" Id="rId764" /><Relationship Type="http://schemas.openxmlformats.org/officeDocument/2006/relationships/hyperlink" Target="https://guiarsanrafael.com.ar/empresa/grosso-georgina-antonella/" TargetMode="External" Id="rId765" /><Relationship Type="http://schemas.openxmlformats.org/officeDocument/2006/relationships/hyperlink" Target="https://guiarsanrafael.com.ar/empresa/grafica-jr/" TargetMode="External" Id="rId766" /><Relationship Type="http://schemas.openxmlformats.org/officeDocument/2006/relationships/hyperlink" Target="https://guiarsanrafael.com.ar/empresa/gs-gestoria-seguros/" TargetMode="External" Id="rId767" /><Relationship Type="http://schemas.openxmlformats.org/officeDocument/2006/relationships/hyperlink" Target="https://guiarsanrafael.com.ar/empresa/gs-mecanica-integral/" TargetMode="External" Id="rId768" /><Relationship Type="http://schemas.openxmlformats.org/officeDocument/2006/relationships/hyperlink" Target="https://guiarsanrafael.com.ar/empresa/gs-motos/" TargetMode="External" Id="rId769" /><Relationship Type="http://schemas.openxmlformats.org/officeDocument/2006/relationships/hyperlink" Target="https://guiarsanrafael.com.ar/empresa/guadalupe-arevalo/" TargetMode="External" Id="rId770" /><Relationship Type="http://schemas.openxmlformats.org/officeDocument/2006/relationships/hyperlink" Target="https://guiarsanrafael.com.ar/empresa/guantanamo-bar/" TargetMode="External" Id="rId771" /><Relationship Type="http://schemas.openxmlformats.org/officeDocument/2006/relationships/hyperlink" Target="https://guiarsanrafael.com.ar/empresa/guardia-jose-luis/" TargetMode="External" Id="rId772" /><Relationship Type="http://schemas.openxmlformats.org/officeDocument/2006/relationships/hyperlink" Target="https://guiarsanrafael.com.ar/empresa/guerrerowalter-emanuel/" TargetMode="External" Id="rId773" /><Relationship Type="http://schemas.openxmlformats.org/officeDocument/2006/relationships/hyperlink" Target="https://guiarsanrafael.com.ar/empresa/guerrero-martin-m/" TargetMode="External" Id="rId774" /><Relationship Type="http://schemas.openxmlformats.org/officeDocument/2006/relationships/hyperlink" Target="https://guiarsanrafael.com.ar/empresa/guillermo-calle/" TargetMode="External" Id="rId775" /><Relationship Type="http://schemas.openxmlformats.org/officeDocument/2006/relationships/hyperlink" Target="https://guiarsanrafael.com.ar/empresa/guillermo-fernandez-2/" TargetMode="External" Id="rId776" /><Relationship Type="http://schemas.openxmlformats.org/officeDocument/2006/relationships/hyperlink" Target="https://guiarsanrafael.com.ar/empresa/guillermo-fernandez/" TargetMode="External" Id="rId777" /><Relationship Type="http://schemas.openxmlformats.org/officeDocument/2006/relationships/hyperlink" Target="https://guiarsanrafael.com.ar/empresa/guillermo-rosales/" TargetMode="External" Id="rId778" /><Relationship Type="http://schemas.openxmlformats.org/officeDocument/2006/relationships/hyperlink" Target="https://guiarsanrafael.com.ar/empresa/guillen-giuliana-m/" TargetMode="External" Id="rId779" /><Relationship Type="http://schemas.openxmlformats.org/officeDocument/2006/relationships/hyperlink" Target="https://guiarsanrafael.com.ar/empresa/guru-bikes/" TargetMode="External" Id="rId780" /><Relationship Type="http://schemas.openxmlformats.org/officeDocument/2006/relationships/hyperlink" Target="https://guiarsanrafael.com.ar/empresa/gustavo-antonini/" TargetMode="External" Id="rId781" /><Relationship Type="http://schemas.openxmlformats.org/officeDocument/2006/relationships/hyperlink" Target="https://guiarsanrafael.com.ar/empresa/gustavo-gimenez/" TargetMode="External" Id="rId782" /><Relationship Type="http://schemas.openxmlformats.org/officeDocument/2006/relationships/hyperlink" Target="https://guiarsanrafael.com.ar/empresa/gustavo-grilli/" TargetMode="External" Id="rId783" /><Relationship Type="http://schemas.openxmlformats.org/officeDocument/2006/relationships/hyperlink" Target="https://guiarsanrafael.com.ar/empresa/gutierrezindira-carolina/" TargetMode="External" Id="rId784" /><Relationship Type="http://schemas.openxmlformats.org/officeDocument/2006/relationships/hyperlink" Target="https://guiarsanrafael.com.ar/empresa/gutierrez-indira-carolina/" TargetMode="External" Id="rId785" /><Relationship Type="http://schemas.openxmlformats.org/officeDocument/2006/relationships/hyperlink" Target="https://guiarsanrafael.com.ar/empresa/gym-art-gimnasia-artistica/" TargetMode="External" Id="rId786" /><Relationship Type="http://schemas.openxmlformats.org/officeDocument/2006/relationships/hyperlink" Target="https://guiarsanrafael.com.ar/empresa/gomez-de-yapur-maria-fernanda/" TargetMode="External" Id="rId787" /><Relationship Type="http://schemas.openxmlformats.org/officeDocument/2006/relationships/hyperlink" Target="https://guiarsanrafael.com.ar/empresa/hecate-distibuidora-mayorista/" TargetMode="External" Id="rId788" /><Relationship Type="http://schemas.openxmlformats.org/officeDocument/2006/relationships/hyperlink" Target="https://guiarsanrafael.com.ar/empresa/hector-miccoli/" TargetMode="External" Id="rId789" /><Relationship Type="http://schemas.openxmlformats.org/officeDocument/2006/relationships/hyperlink" Target="https://guiarsanrafael.com.ar/empresa/hemalab-laboratorio-hematologico/" TargetMode="External" Id="rId790" /><Relationship Type="http://schemas.openxmlformats.org/officeDocument/2006/relationships/hyperlink" Target="https://guiarsanrafael.com.ar/empresa/hernando-natalia/" TargetMode="External" Id="rId791" /><Relationship Type="http://schemas.openxmlformats.org/officeDocument/2006/relationships/hyperlink" Target="https://guiarsanrafael.com.ar/empresa/hernan-alias-fernandez/" TargetMode="External" Id="rId792" /><Relationship Type="http://schemas.openxmlformats.org/officeDocument/2006/relationships/hyperlink" Target="https://guiarsanrafael.com.ar/empresa/hernandez-javier/" TargetMode="External" Id="rId793" /><Relationship Type="http://schemas.openxmlformats.org/officeDocument/2006/relationships/hyperlink" Target="https://guiarsanrafael.com.ar/empresa/herrera-motos/" TargetMode="External" Id="rId794" /><Relationship Type="http://schemas.openxmlformats.org/officeDocument/2006/relationships/hyperlink" Target="https://guiarsanrafael.com.ar/empresa/herrero-galdeano-evelina-maria-del-mar/" TargetMode="External" Id="rId795" /><Relationship Type="http://schemas.openxmlformats.org/officeDocument/2006/relationships/hyperlink" Target="https://guiarsanrafael.com.ar/empresa/hidrokinesia-san-rafael/" TargetMode="External" Id="rId796" /><Relationship Type="http://schemas.openxmlformats.org/officeDocument/2006/relationships/hyperlink" Target="https://guiarsanrafael.com.ar/empresa/hiper-service/" TargetMode="External" Id="rId797" /><Relationship Type="http://schemas.openxmlformats.org/officeDocument/2006/relationships/hyperlink" Target="https://guiarsanrafael.com.ar/empresa/hiperpisos-diseno-estilo/" TargetMode="External" Id="rId798" /><Relationship Type="http://schemas.openxmlformats.org/officeDocument/2006/relationships/hyperlink" Target="https://guiarsanrafael.com.ar/empresa/hojas-espacios-vivos/" TargetMode="External" Id="rId799" /><Relationship Type="http://schemas.openxmlformats.org/officeDocument/2006/relationships/hyperlink" Target="https://guiarsanrafael.com.ar/empresa/hojalateria-peregrin/" TargetMode="External" Id="rId800" /><Relationship Type="http://schemas.openxmlformats.org/officeDocument/2006/relationships/hyperlink" Target="https://guiarsanrafael.com.ar/empresa/honu-cocinamos-con-pasion/" TargetMode="External" Id="rId801" /><Relationship Type="http://schemas.openxmlformats.org/officeDocument/2006/relationships/hyperlink" Target="https://guiarsanrafael.com.ar/empresa/hostel-sigrum/" TargetMode="External" Id="rId802" /><Relationship Type="http://schemas.openxmlformats.org/officeDocument/2006/relationships/hyperlink" Target="https://guiarsanrafael.com.ar/empresa/hotel-alas/" TargetMode="External" Id="rId803" /><Relationship Type="http://schemas.openxmlformats.org/officeDocument/2006/relationships/hyperlink" Target="https://guiarsanrafael.com.ar/empresa/hotel-francia/" TargetMode="External" Id="rId804" /><Relationship Type="http://schemas.openxmlformats.org/officeDocument/2006/relationships/hyperlink" Target="https://guiarsanrafael.com.ar/empresa/hotel-kalton/" TargetMode="External" Id="rId805" /><Relationship Type="http://schemas.openxmlformats.org/officeDocument/2006/relationships/hyperlink" Target="https://guiarsanrafael.com.ar/empresa/hotel-nitra-ii/" TargetMode="External" Id="rId806" /><Relationship Type="http://schemas.openxmlformats.org/officeDocument/2006/relationships/hyperlink" Target="https://guiarsanrafael.com.ar/empresa/hotel-san-rafael/" TargetMode="External" Id="rId807" /><Relationship Type="http://schemas.openxmlformats.org/officeDocument/2006/relationships/hyperlink" Target="https://guiarsanrafael.com.ar/empresa/hotel-vinas/" TargetMode="External" Id="rId808" /><Relationship Type="http://schemas.openxmlformats.org/officeDocument/2006/relationships/hyperlink" Target="https://guiarsanrafael.com.ar/empresa/huele-a-limpio/" TargetMode="External" Id="rId809" /><Relationship Type="http://schemas.openxmlformats.org/officeDocument/2006/relationships/hyperlink" Target="https://guiarsanrafael.com.ar/empresa/hugo-berdun/" TargetMode="External" Id="rId810" /><Relationship Type="http://schemas.openxmlformats.org/officeDocument/2006/relationships/hyperlink" Target="https://guiarsanrafael.com.ar/empresa/idm-instituto-diagnostico-medico/" TargetMode="External" Id="rId811" /><Relationship Type="http://schemas.openxmlformats.org/officeDocument/2006/relationships/hyperlink" Target="https://guiarsanrafael.com.ar/empresa/idraet-pro-institute-san-rafael/" TargetMode="External" Id="rId812" /><Relationship Type="http://schemas.openxmlformats.org/officeDocument/2006/relationships/hyperlink" Target="https://guiarsanrafael.com.ar/empresa/ignasio-pluchino/" TargetMode="External" Id="rId813" /><Relationship Type="http://schemas.openxmlformats.org/officeDocument/2006/relationships/hyperlink" Target="https://guiarsanrafael.com.ar/empresa/il-indumentaria-laboral/" TargetMode="External" Id="rId814" /><Relationship Type="http://schemas.openxmlformats.org/officeDocument/2006/relationships/hyperlink" Target="https://guiarsanrafael.com.ar/empresa/inagen-salud-s-r-l/" TargetMode="External" Id="rId815" /><Relationship Type="http://schemas.openxmlformats.org/officeDocument/2006/relationships/hyperlink" Target="https://guiarsanrafael.com.ar/empresa/josefina-indumentaria/" TargetMode="External" Id="rId816" /><Relationship Type="http://schemas.openxmlformats.org/officeDocument/2006/relationships/hyperlink" Target="https://guiarsanrafael.com.ar/empresa/industria-argentina-muebles/" TargetMode="External" Id="rId817" /><Relationship Type="http://schemas.openxmlformats.org/officeDocument/2006/relationships/hyperlink" Target="https://guiarsanrafael.com.ar/empresa/infinit-box-gim/" TargetMode="External" Id="rId818" /><Relationship Type="http://schemas.openxmlformats.org/officeDocument/2006/relationships/hyperlink" Target="https://guiarsanrafael.com.ar/empresa/informatica-servicios/" TargetMode="External" Id="rId819" /><Relationship Type="http://schemas.openxmlformats.org/officeDocument/2006/relationships/hyperlink" Target="https://guiarsanrafael.com.ar/empresa/instinto-belleza-y-bienestar/" TargetMode="External" Id="rId820" /><Relationship Type="http://schemas.openxmlformats.org/officeDocument/2006/relationships/hyperlink" Target="https://guiarsanrafael.com.ar/empresa/artro-san-rafael/" TargetMode="External" Id="rId821" /><Relationship Type="http://schemas.openxmlformats.org/officeDocument/2006/relationships/hyperlink" Target="https://guiarsanrafael.com.ar/empresa/instituto-dr-mercado-survision-s-a/" TargetMode="External" Id="rId822" /><Relationship Type="http://schemas.openxmlformats.org/officeDocument/2006/relationships/hyperlink" Target="https://guiarsanrafael.com.ar/empresa/integral-pilates/" TargetMode="External" Id="rId823" /><Relationship Type="http://schemas.openxmlformats.org/officeDocument/2006/relationships/hyperlink" Target="https://guiarsanrafael.com.ar/empresa/inter-motor/" TargetMode="External" Id="rId824" /><Relationship Type="http://schemas.openxmlformats.org/officeDocument/2006/relationships/hyperlink" Target="https://guiarsanrafael.com.ar/empresa/ines-analy-rivelli/" TargetMode="External" Id="rId825" /><Relationship Type="http://schemas.openxmlformats.org/officeDocument/2006/relationships/hyperlink" Target="https://guiarsanrafael.com.ar/empresa/irc-circuito-hogar/" TargetMode="External" Id="rId826" /><Relationship Type="http://schemas.openxmlformats.org/officeDocument/2006/relationships/hyperlink" Target="https://guiarsanrafael.com.ar/empresa/isabella-masoterapeuta/" TargetMode="External" Id="rId827" /><Relationship Type="http://schemas.openxmlformats.org/officeDocument/2006/relationships/hyperlink" Target="https://guiarsanrafael.com.ar/empresa/isacar-automotores/" TargetMode="External" Id="rId828" /><Relationship Type="http://schemas.openxmlformats.org/officeDocument/2006/relationships/hyperlink" Target="https://guiarsanrafael.com.ar/empresa/isacar-neumaticos/" TargetMode="External" Id="rId829" /><Relationship Type="http://schemas.openxmlformats.org/officeDocument/2006/relationships/hyperlink" Target="https://guiarsanrafael.com.ar/empresa/trama-textiles/" TargetMode="External" Id="rId830" /><Relationship Type="http://schemas.openxmlformats.org/officeDocument/2006/relationships/hyperlink" Target="https://guiarsanrafael.com.ar/empresa/iscc-instituto-superior-de-carreras-cortas/" TargetMode="External" Id="rId831" /><Relationship Type="http://schemas.openxmlformats.org/officeDocument/2006/relationships/hyperlink" Target="https://guiarsanrafael.com.ar/empresa/iselin-articulos-de-limpieza/" TargetMode="External" Id="rId832" /><Relationship Type="http://schemas.openxmlformats.org/officeDocument/2006/relationships/hyperlink" Target="https://guiarsanrafael.com.ar/empresa/isis-instituto-medico/" TargetMode="External" Id="rId833" /><Relationship Type="http://schemas.openxmlformats.org/officeDocument/2006/relationships/hyperlink" Target="https://guiarsanrafael.com.ar/empresa/isiv-san-rafael/" TargetMode="External" Id="rId834" /><Relationship Type="http://schemas.openxmlformats.org/officeDocument/2006/relationships/hyperlink" Target="https://guiarsanrafael.com.ar/empresa/istok-paola-vanesa/" TargetMode="External" Id="rId835" /><Relationship Type="http://schemas.openxmlformats.org/officeDocument/2006/relationships/hyperlink" Target="https://guiarsanrafael.com.ar/empresa/ivan-lembo-mecanica-gnc/" TargetMode="External" Id="rId836" /><Relationship Type="http://schemas.openxmlformats.org/officeDocument/2006/relationships/hyperlink" Target="https://guiarsanrafael.com.ar/empresa/ivana-capone/" TargetMode="External" Id="rId837" /><Relationship Type="http://schemas.openxmlformats.org/officeDocument/2006/relationships/hyperlink" Target="https://guiarsanrafael.com.ar/empresa/ivan-gomez-parra/" TargetMode="External" Id="rId838" /><Relationship Type="http://schemas.openxmlformats.org/officeDocument/2006/relationships/hyperlink" Target="https://guiarsanrafael.com.ar/empresa/jacob-indumentaria/" TargetMode="External" Id="rId839" /><Relationship Type="http://schemas.openxmlformats.org/officeDocument/2006/relationships/hyperlink" Target="https://guiarsanrafael.com.ar/empresa/jacqueline-ellerbach/" TargetMode="External" Id="rId840" /><Relationship Type="http://schemas.openxmlformats.org/officeDocument/2006/relationships/hyperlink" Target="https://guiarsanrafael.com.ar/empresa/jalifcristian-alejandro/" TargetMode="External" Id="rId841" /><Relationship Type="http://schemas.openxmlformats.org/officeDocument/2006/relationships/hyperlink" Target="https://guiarsanrafael.com.ar/empresa/jam-rod-power-sport-san-rafael/" TargetMode="External" Id="rId842" /><Relationship Type="http://schemas.openxmlformats.org/officeDocument/2006/relationships/hyperlink" Target="https://guiarsanrafael.com.ar/empresa/jamon-y-queso-fiambreria/" TargetMode="External" Id="rId843" /><Relationship Type="http://schemas.openxmlformats.org/officeDocument/2006/relationships/hyperlink" Target="https://guiarsanrafael.com.ar/empresa/jardin-coral-plantas-flores/" TargetMode="External" Id="rId844" /><Relationship Type="http://schemas.openxmlformats.org/officeDocument/2006/relationships/hyperlink" Target="https://guiarsanrafael.com.ar/empresa/javier-alfonso/" TargetMode="External" Id="rId845" /><Relationship Type="http://schemas.openxmlformats.org/officeDocument/2006/relationships/hyperlink" Target="https://guiarsanrafael.com.ar/empresa/javier-hernandez-zaparrat/" TargetMode="External" Id="rId846" /><Relationship Type="http://schemas.openxmlformats.org/officeDocument/2006/relationships/hyperlink" Target="https://guiarsanrafael.com.ar/empresa/javier-labbe/" TargetMode="External" Id="rId847" /><Relationship Type="http://schemas.openxmlformats.org/officeDocument/2006/relationships/hyperlink" Target="https://guiarsanrafael.com.ar/empresa/javier-morganti/" TargetMode="External" Id="rId848" /><Relationship Type="http://schemas.openxmlformats.org/officeDocument/2006/relationships/hyperlink" Target="https://guiarsanrafael.com.ar/empresa/javier-raul-cabana/" TargetMode="External" Id="rId849" /><Relationship Type="http://schemas.openxmlformats.org/officeDocument/2006/relationships/hyperlink" Target="https://guiarsanrafael.com.ar/empresa/javier-san-juan/" TargetMode="External" Id="rId850" /><Relationship Type="http://schemas.openxmlformats.org/officeDocument/2006/relationships/hyperlink" Target="https://guiarsanrafael.com.ar/empresa/jean-rivier-bodega-y-vinedos/" TargetMode="External" Id="rId851" /><Relationship Type="http://schemas.openxmlformats.org/officeDocument/2006/relationships/hyperlink" Target="https://guiarsanrafael.com.ar/empresa/jennifer-cozzari/" TargetMode="External" Id="rId852" /><Relationship Type="http://schemas.openxmlformats.org/officeDocument/2006/relationships/hyperlink" Target="https://guiarsanrafael.com.ar/empresa/jennifer-lagunas-roldan/" TargetMode="External" Id="rId853" /><Relationship Type="http://schemas.openxmlformats.org/officeDocument/2006/relationships/hyperlink" Target="https://guiarsanrafael.com.ar/empresa/jerimias-montoya/" TargetMode="External" Id="rId854" /><Relationship Type="http://schemas.openxmlformats.org/officeDocument/2006/relationships/hyperlink" Target="https://guiarsanrafael.com.ar/empresa/jesica-araya/" TargetMode="External" Id="rId855" /><Relationship Type="http://schemas.openxmlformats.org/officeDocument/2006/relationships/hyperlink" Target="https://guiarsanrafael.com.ar/empresa/jimena-prieto/" TargetMode="External" Id="rId856" /><Relationship Type="http://schemas.openxmlformats.org/officeDocument/2006/relationships/hyperlink" Target="https://guiarsanrafael.com.ar/empresa/jjm-distribuidora-peluqueria-barberia/" TargetMode="External" Id="rId857" /><Relationship Type="http://schemas.openxmlformats.org/officeDocument/2006/relationships/hyperlink" Target="https://guiarsanrafael.com.ar/empresa/jl-muebles-san-rafael/" TargetMode="External" Id="rId858" /><Relationship Type="http://schemas.openxmlformats.org/officeDocument/2006/relationships/hyperlink" Target="https://guiarsanrafael.com.ar/empresa/jm-carpinteria-de-aluminio/" TargetMode="External" Id="rId859" /><Relationship Type="http://schemas.openxmlformats.org/officeDocument/2006/relationships/hyperlink" Target="https://guiarsanrafael.com.ar/empresa/jm-todo-en-descartables/" TargetMode="External" Id="rId860" /><Relationship Type="http://schemas.openxmlformats.org/officeDocument/2006/relationships/hyperlink" Target="https://guiarsanrafael.com.ar/empresa/jn-competicion/" TargetMode="External" Id="rId861" /><Relationship Type="http://schemas.openxmlformats.org/officeDocument/2006/relationships/hyperlink" Target="https://guiarsanrafael.com.ar/empresa/joaquin-lerga/" TargetMode="External" Id="rId862" /><Relationship Type="http://schemas.openxmlformats.org/officeDocument/2006/relationships/hyperlink" Target="https://guiarsanrafael.com.ar/empresa/jofre-luis-alberto/" TargetMode="External" Id="rId863" /><Relationship Type="http://schemas.openxmlformats.org/officeDocument/2006/relationships/hyperlink" Target="https://guiarsanrafael.com.ar/empresa/johana-reche/" TargetMode="External" Id="rId864" /><Relationship Type="http://schemas.openxmlformats.org/officeDocument/2006/relationships/hyperlink" Target="https://guiarsanrafael.com.ar/empresa/jorge-di-cesare/" TargetMode="External" Id="rId865" /><Relationship Type="http://schemas.openxmlformats.org/officeDocument/2006/relationships/hyperlink" Target="https://guiarsanrafael.com.ar/empresa/jorge-giaroli/" TargetMode="External" Id="rId866" /><Relationship Type="http://schemas.openxmlformats.org/officeDocument/2006/relationships/hyperlink" Target="https://guiarsanrafael.com.ar/empresa/jorge-gomila/" TargetMode="External" Id="rId867" /><Relationship Type="http://schemas.openxmlformats.org/officeDocument/2006/relationships/hyperlink" Target="https://guiarsanrafael.com.ar/empresa/jorge-lopez/" TargetMode="External" Id="rId868" /><Relationship Type="http://schemas.openxmlformats.org/officeDocument/2006/relationships/hyperlink" Target="https://guiarsanrafael.com.ar/empresa/jorge-mercado/" TargetMode="External" Id="rId869" /><Relationship Type="http://schemas.openxmlformats.org/officeDocument/2006/relationships/hyperlink" Target="https://guiarsanrafael.com.ar/empresa/jorge-sambrizzi/" TargetMode="External" Id="rId870" /><Relationship Type="http://schemas.openxmlformats.org/officeDocument/2006/relationships/hyperlink" Target="https://guiarsanrafael.com.ar/empresa/jose-luis-oliver/" TargetMode="External" Id="rId871" /><Relationship Type="http://schemas.openxmlformats.org/officeDocument/2006/relationships/hyperlink" Target="https://guiarsanrafael.com.ar/empresa/jose-pregal-2/" TargetMode="External" Id="rId872" /><Relationship Type="http://schemas.openxmlformats.org/officeDocument/2006/relationships/hyperlink" Target="https://guiarsanrafael.com.ar/empresa/josep-veterinaria-y-agroveterinaria/" TargetMode="External" Id="rId873" /><Relationship Type="http://schemas.openxmlformats.org/officeDocument/2006/relationships/hyperlink" Target="https://guiarsanrafael.com.ar/empresa/jose-federico-simone/" TargetMode="External" Id="rId874" /><Relationship Type="http://schemas.openxmlformats.org/officeDocument/2006/relationships/hyperlink" Target="https://guiarsanrafael.com.ar/empresa/jose-luis-ibanez/" TargetMode="External" Id="rId875" /><Relationship Type="http://schemas.openxmlformats.org/officeDocument/2006/relationships/hyperlink" Target="https://guiarsanrafael.com.ar/empresa/jose-occhipinti/" TargetMode="External" Id="rId876" /><Relationship Type="http://schemas.openxmlformats.org/officeDocument/2006/relationships/hyperlink" Target="https://guiarsanrafael.com.ar/empresa/jr-alarmas/" TargetMode="External" Id="rId877" /><Relationship Type="http://schemas.openxmlformats.org/officeDocument/2006/relationships/hyperlink" Target="https://guiarsanrafael.com.ar/empresa/js-repuestos/" TargetMode="External" Id="rId878" /><Relationship Type="http://schemas.openxmlformats.org/officeDocument/2006/relationships/hyperlink" Target="https://guiarsanrafael.com.ar/empresa/juan-carlos-de-nevreze/" TargetMode="External" Id="rId879" /><Relationship Type="http://schemas.openxmlformats.org/officeDocument/2006/relationships/hyperlink" Target="https://guiarsanrafael.com.ar/empresa/juan-crespo/" TargetMode="External" Id="rId880" /><Relationship Type="http://schemas.openxmlformats.org/officeDocument/2006/relationships/hyperlink" Target="https://guiarsanrafael.com.ar/empresa/juan-cruz-orlando/" TargetMode="External" Id="rId881" /><Relationship Type="http://schemas.openxmlformats.org/officeDocument/2006/relationships/hyperlink" Target="https://guiarsanrafael.com.ar/empresa/juan-ignacio-lufi/" TargetMode="External" Id="rId882" /><Relationship Type="http://schemas.openxmlformats.org/officeDocument/2006/relationships/hyperlink" Target="https://guiarsanrafael.com.ar/empresa/juan-ignacio-tuduri-medico-veterinario/" TargetMode="External" Id="rId883" /><Relationship Type="http://schemas.openxmlformats.org/officeDocument/2006/relationships/hyperlink" Target="https://guiarsanrafael.com.ar/empresa/juan-manuel-martinez/" TargetMode="External" Id="rId884" /><Relationship Type="http://schemas.openxmlformats.org/officeDocument/2006/relationships/hyperlink" Target="https://guiarsanrafael.com.ar/empresa/juan-martin-march-2/" TargetMode="External" Id="rId885" /><Relationship Type="http://schemas.openxmlformats.org/officeDocument/2006/relationships/hyperlink" Target="https://guiarsanrafael.com.ar/empresa/juan-martin-march/" TargetMode="External" Id="rId886" /><Relationship Type="http://schemas.openxmlformats.org/officeDocument/2006/relationships/hyperlink" Target="https://guiarsanrafael.com.ar/empresa/juan-pablo-cattai/" TargetMode="External" Id="rId887" /><Relationship Type="http://schemas.openxmlformats.org/officeDocument/2006/relationships/hyperlink" Target="https://guiarsanrafael.com.ar/empresa/juan-peralta-lorca/" TargetMode="External" Id="rId888" /><Relationship Type="http://schemas.openxmlformats.org/officeDocument/2006/relationships/hyperlink" Target="https://guiarsanrafael.com.ar/empresa/jugueteria-don-carmelo/" TargetMode="External" Id="rId889" /><Relationship Type="http://schemas.openxmlformats.org/officeDocument/2006/relationships/hyperlink" Target="https://guiarsanrafael.com.ar/empresa/juliana-mendoza-canela/" TargetMode="External" Id="rId890" /><Relationship Type="http://schemas.openxmlformats.org/officeDocument/2006/relationships/hyperlink" Target="https://guiarsanrafael.com.ar/empresa/juliana-tortosa/" TargetMode="External" Id="rId891" /><Relationship Type="http://schemas.openxmlformats.org/officeDocument/2006/relationships/hyperlink" Target="https://guiarsanrafael.com.ar/empresa/julieta-boschin/" TargetMode="External" Id="rId892" /><Relationship Type="http://schemas.openxmlformats.org/officeDocument/2006/relationships/hyperlink" Target="https://guiarsanrafael.com.ar/empresa/julieta-delpozzi/" TargetMode="External" Id="rId893" /><Relationship Type="http://schemas.openxmlformats.org/officeDocument/2006/relationships/hyperlink" Target="https://guiarsanrafael.com.ar/empresa/julieta-estevan-gili/" TargetMode="External" Id="rId894" /><Relationship Type="http://schemas.openxmlformats.org/officeDocument/2006/relationships/hyperlink" Target="https://guiarsanrafael.com.ar/empresa/julieta-avila/" TargetMode="External" Id="rId895" /><Relationship Type="http://schemas.openxmlformats.org/officeDocument/2006/relationships/hyperlink" Target="https://guiarsanrafael.com.ar/empresa/julio-varela/" TargetMode="External" Id="rId896" /><Relationship Type="http://schemas.openxmlformats.org/officeDocument/2006/relationships/hyperlink" Target="https://guiarsanrafael.com.ar/empresa/julian-ruiz-y-cia-s-r-l/" TargetMode="External" Id="rId897" /><Relationship Type="http://schemas.openxmlformats.org/officeDocument/2006/relationships/hyperlink" Target="https://guiarsanrafael.com.ar/empresa/juri-isaac-alfredo/" TargetMode="External" Id="rId898" /><Relationship Type="http://schemas.openxmlformats.org/officeDocument/2006/relationships/hyperlink" Target="https://guiarsanrafael.com.ar/empresa/juri-stella-maris/" TargetMode="External" Id="rId899" /><Relationship Type="http://schemas.openxmlformats.org/officeDocument/2006/relationships/hyperlink" Target="https://guiarsanrafael.com.ar/empresa/jv-baterias/" TargetMode="External" Id="rId900" /><Relationship Type="http://schemas.openxmlformats.org/officeDocument/2006/relationships/hyperlink" Target="https://guiarsanrafael.com.ar/empresa/jv-soluciones-constructivas/" TargetMode="External" Id="rId901" /><Relationship Type="http://schemas.openxmlformats.org/officeDocument/2006/relationships/hyperlink" Target="https://guiarsanrafael.com.ar/empresa/jesica-pravata/" TargetMode="External" Id="rId902" /><Relationship Type="http://schemas.openxmlformats.org/officeDocument/2006/relationships/hyperlink" Target="https://guiarsanrafael.com.ar/empresa/kaizen-deco-santeria/" TargetMode="External" Id="rId903" /><Relationship Type="http://schemas.openxmlformats.org/officeDocument/2006/relationships/hyperlink" Target="https://guiarsanrafael.com.ar/empresa/karina-herrera/" TargetMode="External" Id="rId904" /><Relationship Type="http://schemas.openxmlformats.org/officeDocument/2006/relationships/hyperlink" Target="https://guiarsanrafael.com.ar/empresa/karina-rocio-oblitas-rodriguez/" TargetMode="External" Id="rId905" /><Relationship Type="http://schemas.openxmlformats.org/officeDocument/2006/relationships/hyperlink" Target="https://guiarsanrafael.com.ar/empresa/9273/" TargetMode="External" Id="rId906" /><Relationship Type="http://schemas.openxmlformats.org/officeDocument/2006/relationships/hyperlink" Target="https://guiarsanrafael.com.ar/empresa/ketobac/" TargetMode="External" Id="rId907" /><Relationship Type="http://schemas.openxmlformats.org/officeDocument/2006/relationships/hyperlink" Target="https://guiarsanrafael.com.ar/empresa/kevin-barchiesi/" TargetMode="External" Id="rId908" /><Relationship Type="http://schemas.openxmlformats.org/officeDocument/2006/relationships/hyperlink" Target="https://guiarsanrafael.com.ar/empresa/kine-rehabilitacion-san-rafael/" TargetMode="External" Id="rId909" /><Relationship Type="http://schemas.openxmlformats.org/officeDocument/2006/relationships/hyperlink" Target="https://guiarsanrafael.com.ar/empresa/kudhai-detailing/" TargetMode="External" Id="rId910" /><Relationship Type="http://schemas.openxmlformats.org/officeDocument/2006/relationships/hyperlink" Target="https://guiarsanrafael.com.ar/empresa/kv-gimnasio/" TargetMode="External" Id="rId911" /><Relationship Type="http://schemas.openxmlformats.org/officeDocument/2006/relationships/hyperlink" Target="https://guiarsanrafael.com.ar/empresa/la-abeja-finca-bodega/" TargetMode="External" Id="rId912" /><Relationship Type="http://schemas.openxmlformats.org/officeDocument/2006/relationships/hyperlink" Target="https://guiarsanrafael.com.ar/empresa/la-andaluza/" TargetMode="External" Id="rId913" /><Relationship Type="http://schemas.openxmlformats.org/officeDocument/2006/relationships/hyperlink" Target="https://guiarsanrafael.com.ar/empresa/la-barrica-vinoteca/" TargetMode="External" Id="rId914" /><Relationship Type="http://schemas.openxmlformats.org/officeDocument/2006/relationships/hyperlink" Target="https://guiarsanrafael.com.ar/empresa/la-bodega-parrilla-resto-bar/" TargetMode="External" Id="rId915" /><Relationship Type="http://schemas.openxmlformats.org/officeDocument/2006/relationships/hyperlink" Target="https://guiarsanrafael.com.ar/empresa/la-bohemia-artistica/" TargetMode="External" Id="rId916" /><Relationship Type="http://schemas.openxmlformats.org/officeDocument/2006/relationships/hyperlink" Target="https://guiarsanrafael.com.ar/empresa/la-buenos-aires-pizza/" TargetMode="External" Id="rId917" /><Relationship Type="http://schemas.openxmlformats.org/officeDocument/2006/relationships/hyperlink" Target="https://guiarsanrafael.com.ar/empresa/la-casa-de-las-baterias/" TargetMode="External" Id="rId918" /><Relationship Type="http://schemas.openxmlformats.org/officeDocument/2006/relationships/hyperlink" Target="https://guiarsanrafael.com.ar/empresa/la-casa-del-carpintero-egger-haus/" TargetMode="External" Id="rId919" /><Relationship Type="http://schemas.openxmlformats.org/officeDocument/2006/relationships/hyperlink" Target="https://guiarsanrafael.com.ar/empresa/la-casa-del-matafuego/" TargetMode="External" Id="rId920" /><Relationship Type="http://schemas.openxmlformats.org/officeDocument/2006/relationships/hyperlink" Target="https://guiarsanrafael.com.ar/empresa/la-casa-del-neumatico/" TargetMode="External" Id="rId921" /><Relationship Type="http://schemas.openxmlformats.org/officeDocument/2006/relationships/hyperlink" Target="https://guiarsanrafael.com.ar/empresa/la-cocina-de-olga/" TargetMode="External" Id="rId922" /><Relationship Type="http://schemas.openxmlformats.org/officeDocument/2006/relationships/hyperlink" Target="https://guiarsanrafael.com.ar/empresa/la-cortinaria-toldos-y-cortinados/" TargetMode="External" Id="rId923" /><Relationship Type="http://schemas.openxmlformats.org/officeDocument/2006/relationships/hyperlink" Target="https://guiarsanrafael.com.ar/empresa/la-delicia-del-boulevard/" TargetMode="External" Id="rId924" /><Relationship Type="http://schemas.openxmlformats.org/officeDocument/2006/relationships/hyperlink" Target="https://guiarsanrafael.com.ar/empresa/la-esperanza-contenedores/" TargetMode="External" Id="rId925" /><Relationship Type="http://schemas.openxmlformats.org/officeDocument/2006/relationships/hyperlink" Target="https://guiarsanrafael.com.ar/empresa/la-esperanza-del-valle-cabanas/" TargetMode="External" Id="rId926" /><Relationship Type="http://schemas.openxmlformats.org/officeDocument/2006/relationships/hyperlink" Target="https://guiarsanrafael.com.ar/empresa/la-esquina-rotiseria/" TargetMode="External" Id="rId927" /><Relationship Type="http://schemas.openxmlformats.org/officeDocument/2006/relationships/hyperlink" Target="https://guiarsanrafael.com.ar/empresa/la-granadina/" TargetMode="External" Id="rId928" /><Relationship Type="http://schemas.openxmlformats.org/officeDocument/2006/relationships/hyperlink" Target="https://guiarsanrafael.com.ar/empresa/la-granadina-artesanal/" TargetMode="External" Id="rId929" /><Relationship Type="http://schemas.openxmlformats.org/officeDocument/2006/relationships/hyperlink" Target="https://guiarsanrafael.com.ar/empresa/la-gringa-fiambres-y-vinos/" TargetMode="External" Id="rId930" /><Relationship Type="http://schemas.openxmlformats.org/officeDocument/2006/relationships/hyperlink" Target="https://guiarsanrafael.com.ar/empresa/la-linea-pesca/" TargetMode="External" Id="rId931" /><Relationship Type="http://schemas.openxmlformats.org/officeDocument/2006/relationships/hyperlink" Target="https://guiarsanrafael.com.ar/empresa/la-loca-de-la-limpieza/" TargetMode="External" Id="rId932" /><Relationship Type="http://schemas.openxmlformats.org/officeDocument/2006/relationships/hyperlink" Target="https://guiarsanrafael.com.ar/empresa/la-magia-del-sol/" TargetMode="External" Id="rId933" /><Relationship Type="http://schemas.openxmlformats.org/officeDocument/2006/relationships/hyperlink" Target="https://guiarsanrafael.com.ar/empresa/la-magia-del-sol-2/" TargetMode="External" Id="rId934" /><Relationship Type="http://schemas.openxmlformats.org/officeDocument/2006/relationships/hyperlink" Target="https://guiarsanrafael.com.ar/empresa/la-manzaneria/" TargetMode="External" Id="rId935" /><Relationship Type="http://schemas.openxmlformats.org/officeDocument/2006/relationships/hyperlink" Target="https://guiarsanrafael.com.ar/empresa/la-maquina-resto/" TargetMode="External" Id="rId936" /><Relationship Type="http://schemas.openxmlformats.org/officeDocument/2006/relationships/hyperlink" Target="https://guiarsanrafael.com.ar/empresa/la-maruja-cosas-de-campo/" TargetMode="External" Id="rId937" /><Relationship Type="http://schemas.openxmlformats.org/officeDocument/2006/relationships/hyperlink" Target="https://guiarsanrafael.com.ar/empresa/la-ocasion-distribuidora-mayorista/" TargetMode="External" Id="rId938" /><Relationship Type="http://schemas.openxmlformats.org/officeDocument/2006/relationships/hyperlink" Target="https://guiarsanrafael.com.ar/empresa/la-patagonica/" TargetMode="External" Id="rId939" /><Relationship Type="http://schemas.openxmlformats.org/officeDocument/2006/relationships/hyperlink" Target="https://guiarsanrafael.com.ar/empresa/la-panalera/" TargetMode="External" Id="rId940" /><Relationship Type="http://schemas.openxmlformats.org/officeDocument/2006/relationships/hyperlink" Target="https://guiarsanrafael.com.ar/empresa/la-posada-de-cacho/" TargetMode="External" Id="rId941" /><Relationship Type="http://schemas.openxmlformats.org/officeDocument/2006/relationships/hyperlink" Target="https://guiarsanrafael.com.ar/empresa/la-posada-del-indio/" TargetMode="External" Id="rId942" /><Relationship Type="http://schemas.openxmlformats.org/officeDocument/2006/relationships/hyperlink" Target="https://guiarsanrafael.com.ar/empresa/la-primera-pastas/" TargetMode="External" Id="rId943" /><Relationship Type="http://schemas.openxmlformats.org/officeDocument/2006/relationships/hyperlink" Target="https://guiarsanrafael.com.ar/empresa/la-sahumeria/" TargetMode="External" Id="rId944" /><Relationship Type="http://schemas.openxmlformats.org/officeDocument/2006/relationships/hyperlink" Target="https://guiarsanrafael.com.ar/empresa/la-suprema-comidas-para-llevar/" TargetMode="External" Id="rId945" /><Relationship Type="http://schemas.openxmlformats.org/officeDocument/2006/relationships/hyperlink" Target="https://guiarsanrafael.com.ar/empresa/la-surena-tienda-de-cosmeticos/" TargetMode="External" Id="rId946" /><Relationship Type="http://schemas.openxmlformats.org/officeDocument/2006/relationships/hyperlink" Target="https://guiarsanrafael.com.ar/empresa/la-tana-sin-gluten/" TargetMode="External" Id="rId947" /><Relationship Type="http://schemas.openxmlformats.org/officeDocument/2006/relationships/hyperlink" Target="https://guiarsanrafael.com.ar/empresa/dona-nona/" TargetMode="External" Id="rId948" /><Relationship Type="http://schemas.openxmlformats.org/officeDocument/2006/relationships/hyperlink" Target="https://guiarsanrafael.com.ar/empresa/la-tia-nona-rivadavia/" TargetMode="External" Id="rId949" /><Relationship Type="http://schemas.openxmlformats.org/officeDocument/2006/relationships/hyperlink" Target="https://guiarsanrafael.com.ar/empresa/la-torre-frenos-y-servicio/" TargetMode="External" Id="rId950" /><Relationship Type="http://schemas.openxmlformats.org/officeDocument/2006/relationships/hyperlink" Target="https://guiarsanrafael.com.ar/empresa/la-vera-pizza/" TargetMode="External" Id="rId951" /><Relationship Type="http://schemas.openxmlformats.org/officeDocument/2006/relationships/hyperlink" Target="https://guiarsanrafael.com.ar/empresa/la-vieja-bodega-serra/" TargetMode="External" Id="rId952" /><Relationship Type="http://schemas.openxmlformats.org/officeDocument/2006/relationships/hyperlink" Target="https://guiarsanrafael.com.ar/empresa/la-vinoteca/" TargetMode="External" Id="rId953" /><Relationship Type="http://schemas.openxmlformats.org/officeDocument/2006/relationships/hyperlink" Target="https://guiarsanrafael.com.ar/empresa/7865/" TargetMode="External" Id="rId954" /><Relationship Type="http://schemas.openxmlformats.org/officeDocument/2006/relationships/hyperlink" Target="https://guiarsanrafael.com.ar/empresa/lab-bioquimica-especializada-2/" TargetMode="External" Id="rId955" /><Relationship Type="http://schemas.openxmlformats.org/officeDocument/2006/relationships/hyperlink" Target="https://guiarsanrafael.com.ar/empresa/labanca-nicolas/" TargetMode="External" Id="rId956" /><Relationship Type="http://schemas.openxmlformats.org/officeDocument/2006/relationships/hyperlink" Target="https://guiarsanrafael.com.ar/empresa/lacam-maria-valeria/" TargetMode="External" Id="rId957" /><Relationship Type="http://schemas.openxmlformats.org/officeDocument/2006/relationships/hyperlink" Target="https://guiarsanrafael.com.ar/empresa/lalo-farina-mecanica/" TargetMode="External" Id="rId958" /><Relationship Type="http://schemas.openxmlformats.org/officeDocument/2006/relationships/hyperlink" Target="https://guiarsanrafael.com.ar/empresa/lamena-gnemmi-silvina/" TargetMode="External" Id="rId959" /><Relationship Type="http://schemas.openxmlformats.org/officeDocument/2006/relationships/hyperlink" Target="https://guiarsanrafael.com.ar/empresa/lara-mendoza-grafologa/" TargetMode="External" Id="rId960" /><Relationship Type="http://schemas.openxmlformats.org/officeDocument/2006/relationships/hyperlink" Target="https://guiarsanrafael.com.ar/empresa/laura-alvarez/" TargetMode="External" Id="rId961" /><Relationship Type="http://schemas.openxmlformats.org/officeDocument/2006/relationships/hyperlink" Target="https://guiarsanrafael.com.ar/empresa/laura-blanco/" TargetMode="External" Id="rId962" /><Relationship Type="http://schemas.openxmlformats.org/officeDocument/2006/relationships/hyperlink" Target="https://guiarsanrafael.com.ar/empresa/laura-celina-sans/" TargetMode="External" Id="rId963" /><Relationship Type="http://schemas.openxmlformats.org/officeDocument/2006/relationships/hyperlink" Target="https://guiarsanrafael.com.ar/empresa/laura-mondaca-cosmiatra/" TargetMode="External" Id="rId964" /><Relationship Type="http://schemas.openxmlformats.org/officeDocument/2006/relationships/hyperlink" Target="https://guiarsanrafael.com.ar/empresa/laura-moreno/" TargetMode="External" Id="rId965" /><Relationship Type="http://schemas.openxmlformats.org/officeDocument/2006/relationships/hyperlink" Target="https://guiarsanrafael.com.ar/empresa/lauro-a-castillo/" TargetMode="External" Id="rId966" /><Relationship Type="http://schemas.openxmlformats.org/officeDocument/2006/relationships/hyperlink" Target="https://guiarsanrafael.com.ar/empresa/lavanderia-las-heras/" TargetMode="External" Id="rId967" /><Relationship Type="http://schemas.openxmlformats.org/officeDocument/2006/relationships/hyperlink" Target="https://guiarsanrafael.com.ar/empresa/le-boulanger-3/" TargetMode="External" Id="rId968" /><Relationship Type="http://schemas.openxmlformats.org/officeDocument/2006/relationships/hyperlink" Target="https://guiarsanrafael.com.ar/empresa/le-boulanger-4/" TargetMode="External" Id="rId969" /><Relationship Type="http://schemas.openxmlformats.org/officeDocument/2006/relationships/hyperlink" Target="https://guiarsanrafael.com.ar/empresa/le-boulanger/" TargetMode="External" Id="rId970" /><Relationship Type="http://schemas.openxmlformats.org/officeDocument/2006/relationships/hyperlink" Target="https://guiarsanrafael.com.ar/empresa/le-boulanger-2/" TargetMode="External" Id="rId971" /><Relationship Type="http://schemas.openxmlformats.org/officeDocument/2006/relationships/hyperlink" Target="https://guiarsanrafael.com.ar/empresa/le-chateau-panaderia/" TargetMode="External" Id="rId972" /><Relationship Type="http://schemas.openxmlformats.org/officeDocument/2006/relationships/hyperlink" Target="https://guiarsanrafael.com.ar/empresa/leandro-herrero/" TargetMode="External" Id="rId973" /><Relationship Type="http://schemas.openxmlformats.org/officeDocument/2006/relationships/hyperlink" Target="https://guiarsanrafael.com.ar/empresa/leandro-roca/" TargetMode="External" Id="rId974" /><Relationship Type="http://schemas.openxmlformats.org/officeDocument/2006/relationships/hyperlink" Target="https://guiarsanrafael.com.ar/empresa/lecla-fest/" TargetMode="External" Id="rId975" /><Relationship Type="http://schemas.openxmlformats.org/officeDocument/2006/relationships/hyperlink" Target="https://guiarsanrafael.com.ar/empresa/lecla-hombre-mujer/" TargetMode="External" Id="rId976" /><Relationship Type="http://schemas.openxmlformats.org/officeDocument/2006/relationships/hyperlink" Target="https://guiarsanrafael.com.ar/empresa/lecla-reparacion-de-electrodomesticos/" TargetMode="External" Id="rId977" /><Relationship Type="http://schemas.openxmlformats.org/officeDocument/2006/relationships/hyperlink" Target="https://guiarsanrafael.com.ar/empresa/leonardo-medaura/" TargetMode="External" Id="rId978" /><Relationship Type="http://schemas.openxmlformats.org/officeDocument/2006/relationships/hyperlink" Target="https://guiarsanrafael.com.ar/empresa/leonardo-schiavone/" TargetMode="External" Id="rId979" /><Relationship Type="http://schemas.openxmlformats.org/officeDocument/2006/relationships/hyperlink" Target="https://guiarsanrafael.com.ar/empresa/leticia-contreras/" TargetMode="External" Id="rId980" /><Relationship Type="http://schemas.openxmlformats.org/officeDocument/2006/relationships/hyperlink" Target="https://guiarsanrafael.com.ar/empresa/lia-morandi-estetica-integral/" TargetMode="External" Id="rId981" /><Relationship Type="http://schemas.openxmlformats.org/officeDocument/2006/relationships/hyperlink" Target="https://guiarsanrafael.com.ar/empresa/libra-gimnasio/" TargetMode="External" Id="rId982" /><Relationship Type="http://schemas.openxmlformats.org/officeDocument/2006/relationships/hyperlink" Target="https://guiarsanrafael.com.ar/empresa/libreria-arco-iris/" TargetMode="External" Id="rId983" /><Relationship Type="http://schemas.openxmlformats.org/officeDocument/2006/relationships/hyperlink" Target="https://guiarsanrafael.com.ar/empresa/libreria-magenta/" TargetMode="External" Id="rId984" /><Relationship Type="http://schemas.openxmlformats.org/officeDocument/2006/relationships/hyperlink" Target="https://guiarsanrafael.com.ar/empresa/libreria-san-lorenzo/" TargetMode="External" Id="rId985" /><Relationship Type="http://schemas.openxmlformats.org/officeDocument/2006/relationships/hyperlink" Target="https://guiarsanrafael.com.ar/empresa/baldoni-liliana-b/" TargetMode="External" Id="rId986" /><Relationship Type="http://schemas.openxmlformats.org/officeDocument/2006/relationships/hyperlink" Target="https://guiarsanrafael.com.ar/empresa/limpia-facil/" TargetMode="External" Id="rId987" /><Relationship Type="http://schemas.openxmlformats.org/officeDocument/2006/relationships/hyperlink" Target="https://guiarsanrafael.com.ar/empresa/limpic-fabrica-de-productos-de-limpieza/" TargetMode="External" Id="rId988" /><Relationship Type="http://schemas.openxmlformats.org/officeDocument/2006/relationships/hyperlink" Target="https://guiarsanrafael.com.ar/empresa/linea-corporal-dance/" TargetMode="External" Id="rId989" /><Relationship Type="http://schemas.openxmlformats.org/officeDocument/2006/relationships/hyperlink" Target="https://guiarsanrafael.com.ar/empresa/linea-hogar/" TargetMode="External" Id="rId990" /><Relationship Type="http://schemas.openxmlformats.org/officeDocument/2006/relationships/hyperlink" Target="https://guiarsanrafael.com.ar/empresa/lira-martinez-rejtman/" TargetMode="External" Id="rId991" /><Relationship Type="http://schemas.openxmlformats.org/officeDocument/2006/relationships/hyperlink" Target="https://guiarsanrafael.com.ar/empresa/livier-vinos-y-licores/" TargetMode="External" Id="rId992" /><Relationship Type="http://schemas.openxmlformats.org/officeDocument/2006/relationships/hyperlink" Target="https://guiarsanrafael.com.ar/empresa/lo-de-gamo-peluqueria-y-alimentos/" TargetMode="External" Id="rId993" /><Relationship Type="http://schemas.openxmlformats.org/officeDocument/2006/relationships/hyperlink" Target="https://guiarsanrafael.com.ar/empresa/lo-de-leti/" TargetMode="External" Id="rId994" /><Relationship Type="http://schemas.openxmlformats.org/officeDocument/2006/relationships/hyperlink" Target="https://guiarsanrafael.com.ar/empresa/lo-de-marcial/" TargetMode="External" Id="rId995" /><Relationship Type="http://schemas.openxmlformats.org/officeDocument/2006/relationships/hyperlink" Target="https://guiarsanrafael.com.ar/empresa/lolivia-helados-artesanales/" TargetMode="External" Id="rId996" /><Relationship Type="http://schemas.openxmlformats.org/officeDocument/2006/relationships/hyperlink" Target="https://guiarsanrafael.com.ar/empresa/lolos-co-tienda-para-mascotas/" TargetMode="External" Id="rId997" /><Relationship Type="http://schemas.openxmlformats.org/officeDocument/2006/relationships/hyperlink" Target="https://guiarsanrafael.com.ar/empresa/lonas-cuyo/" TargetMode="External" Id="rId998" /><Relationship Type="http://schemas.openxmlformats.org/officeDocument/2006/relationships/hyperlink" Target="https://guiarsanrafael.com.ar/empresa/lopez-antequera-franco-martin/" TargetMode="External" Id="rId999" /><Relationship Type="http://schemas.openxmlformats.org/officeDocument/2006/relationships/hyperlink" Target="https://guiarsanrafael.com.ar/empresa/lorena-lopez/" TargetMode="External" Id="rId1000" /><Relationship Type="http://schemas.openxmlformats.org/officeDocument/2006/relationships/hyperlink" Target="https://guiarsanrafael.com.ar/empresa/lorena-telesca/" TargetMode="External" Id="rId1001" /><Relationship Type="http://schemas.openxmlformats.org/officeDocument/2006/relationships/hyperlink" Target="https://guiarsanrafael.com.ar/empresa/lorena-vega/" TargetMode="External" Id="rId1002" /><Relationship Type="http://schemas.openxmlformats.org/officeDocument/2006/relationships/hyperlink" Target="https://guiarsanrafael.com.ar/empresa/los-cascon-pastas-artesanales/" TargetMode="External" Id="rId1003" /><Relationship Type="http://schemas.openxmlformats.org/officeDocument/2006/relationships/hyperlink" Target="https://guiarsanrafael.com.ar/empresa/los-franceses/" TargetMode="External" Id="rId1004" /><Relationship Type="http://schemas.openxmlformats.org/officeDocument/2006/relationships/hyperlink" Target="https://guiarsanrafael.com.ar/empresa/los-franceses-neumaticos/" TargetMode="External" Id="rId1005" /><Relationship Type="http://schemas.openxmlformats.org/officeDocument/2006/relationships/hyperlink" Target="https://guiarsanrafael.com.ar/empresa/los-medanos-sabor-casero/" TargetMode="External" Id="rId1006" /><Relationship Type="http://schemas.openxmlformats.org/officeDocument/2006/relationships/hyperlink" Target="https://guiarsanrafael.com.ar/empresa/los-merino-pintureria/" TargetMode="External" Id="rId1007" /><Relationship Type="http://schemas.openxmlformats.org/officeDocument/2006/relationships/hyperlink" Target="https://guiarsanrafael.com.ar/empresa/los-reyes-de-la-limpieza/" TargetMode="External" Id="rId1008" /><Relationship Type="http://schemas.openxmlformats.org/officeDocument/2006/relationships/hyperlink" Target="https://guiarsanrafael.com.ar/empresa/los-surenos/" TargetMode="External" Id="rId1009" /><Relationship Type="http://schemas.openxmlformats.org/officeDocument/2006/relationships/hyperlink" Target="https://guiarsanrafael.com.ar/empresa/los-troncos-complejo-turistico/" TargetMode="External" Id="rId1010" /><Relationship Type="http://schemas.openxmlformats.org/officeDocument/2006/relationships/hyperlink" Target="https://guiarsanrafael.com.ar/empresa/lourdes-burzaco/" TargetMode="External" Id="rId1011" /><Relationship Type="http://schemas.openxmlformats.org/officeDocument/2006/relationships/hyperlink" Target="https://guiarsanrafael.com.ar/empresa/louvre-enmarcados/" TargetMode="External" Id="rId1012" /><Relationship Type="http://schemas.openxmlformats.org/officeDocument/2006/relationships/hyperlink" Target="https://guiarsanrafael.com.ar/empresa/loyal-pets-store/" TargetMode="External" Id="rId1013" /><Relationship Type="http://schemas.openxmlformats.org/officeDocument/2006/relationships/hyperlink" Target="https://guiarsanrafael.com.ar/empresa/lozano-keytech-cerrajeria/" TargetMode="External" Id="rId1014" /><Relationship Type="http://schemas.openxmlformats.org/officeDocument/2006/relationships/hyperlink" Target="https://guiarsanrafael.com.ar/empresa/ls-mecanica-gnc/" TargetMode="External" Id="rId1015" /><Relationship Type="http://schemas.openxmlformats.org/officeDocument/2006/relationships/hyperlink" Target="https://guiarsanrafael.com.ar/empresa/ls-neumaticos/" TargetMode="External" Id="rId1016" /><Relationship Type="http://schemas.openxmlformats.org/officeDocument/2006/relationships/hyperlink" Target="https://guiarsanrafael.com.ar/empresa/lubri-del-centro/" TargetMode="External" Id="rId1017" /><Relationship Type="http://schemas.openxmlformats.org/officeDocument/2006/relationships/hyperlink" Target="https://guiarsanrafael.com.ar/empresa/lubricentro-15w40/" TargetMode="External" Id="rId1018" /><Relationship Type="http://schemas.openxmlformats.org/officeDocument/2006/relationships/hyperlink" Target="https://guiarsanrafael.com.ar/empresa/lubricentro-aguirre/" TargetMode="External" Id="rId1019" /><Relationship Type="http://schemas.openxmlformats.org/officeDocument/2006/relationships/hyperlink" Target="https://guiarsanrafael.com.ar/empresa/lubricentro-baja-un-cambio/" TargetMode="External" Id="rId1020" /><Relationship Type="http://schemas.openxmlformats.org/officeDocument/2006/relationships/hyperlink" Target="https://guiarsanrafael.com.ar/empresa/lubricentro-clase-1/" TargetMode="External" Id="rId1021" /><Relationship Type="http://schemas.openxmlformats.org/officeDocument/2006/relationships/hyperlink" Target="https://guiarsanrafael.com.ar/empresa/lubricentro-fuentes/" TargetMode="External" Id="rId1022" /><Relationship Type="http://schemas.openxmlformats.org/officeDocument/2006/relationships/hyperlink" Target="https://guiarsanrafael.com.ar/empresa/lubricentro-italo/" TargetMode="External" Id="rId1023" /><Relationship Type="http://schemas.openxmlformats.org/officeDocument/2006/relationships/hyperlink" Target="https://guiarsanrafael.com.ar/empresa/lubricentro-lujan/" TargetMode="External" Id="rId1024" /><Relationship Type="http://schemas.openxmlformats.org/officeDocument/2006/relationships/hyperlink" Target="https://guiarsanrafael.com.ar/empresa/lubricentro-san-expedito/" TargetMode="External" Id="rId1025" /><Relationship Type="http://schemas.openxmlformats.org/officeDocument/2006/relationships/hyperlink" Target="https://guiarsanrafael.com.ar/empresa/lubricentro-san-martin/" TargetMode="External" Id="rId1026" /><Relationship Type="http://schemas.openxmlformats.org/officeDocument/2006/relationships/hyperlink" Target="https://guiarsanrafael.com.ar/empresa/lubriservice/" TargetMode="External" Id="rId1027" /><Relationship Type="http://schemas.openxmlformats.org/officeDocument/2006/relationships/hyperlink" Target="https://guiarsanrafael.com.ar/empresa/lucas-bernaola-car-paint/" TargetMode="External" Id="rId1028" /><Relationship Type="http://schemas.openxmlformats.org/officeDocument/2006/relationships/hyperlink" Target="https://guiarsanrafael.com.ar/empresa/lucas-julian-flores/" TargetMode="External" Id="rId1029" /><Relationship Type="http://schemas.openxmlformats.org/officeDocument/2006/relationships/hyperlink" Target="https://guiarsanrafael.com.ar/empresa/lucas-lubricantes/" TargetMode="External" Id="rId1030" /><Relationship Type="http://schemas.openxmlformats.org/officeDocument/2006/relationships/hyperlink" Target="https://guiarsanrafael.com.ar/empresa/lucca-natalia/" TargetMode="External" Id="rId1031" /><Relationship Type="http://schemas.openxmlformats.org/officeDocument/2006/relationships/hyperlink" Target="https://guiarsanrafael.com.ar/empresa/lucia-rubio-duca/" TargetMode="External" Id="rId1032" /><Relationship Type="http://schemas.openxmlformats.org/officeDocument/2006/relationships/hyperlink" Target="https://guiarsanrafael.com.ar/empresa/luciana-antonella-grassi/" TargetMode="External" Id="rId1033" /><Relationship Type="http://schemas.openxmlformats.org/officeDocument/2006/relationships/hyperlink" Target="https://guiarsanrafael.com.ar/empresa/luciana-gonzalez/" TargetMode="External" Id="rId1034" /><Relationship Type="http://schemas.openxmlformats.org/officeDocument/2006/relationships/hyperlink" Target="https://guiarsanrafael.com.ar/empresa/luciana-nardelli/" TargetMode="External" Id="rId1035" /><Relationship Type="http://schemas.openxmlformats.org/officeDocument/2006/relationships/hyperlink" Target="https://guiarsanrafael.com.ar/empresa/lucia-caride/" TargetMode="External" Id="rId1036" /><Relationship Type="http://schemas.openxmlformats.org/officeDocument/2006/relationships/hyperlink" Target="https://guiarsanrafael.com.ar/empresa/lucia-fuzs/" TargetMode="External" Id="rId1037" /><Relationship Type="http://schemas.openxmlformats.org/officeDocument/2006/relationships/hyperlink" Target="https://guiarsanrafael.com.ar/empresa/luis-merino/" TargetMode="External" Id="rId1038" /><Relationship Type="http://schemas.openxmlformats.org/officeDocument/2006/relationships/hyperlink" Target="https://guiarsanrafael.com.ar/empresa/luis-nicora-fernandez/" TargetMode="External" Id="rId1039" /><Relationship Type="http://schemas.openxmlformats.org/officeDocument/2006/relationships/hyperlink" Target="https://guiarsanrafael.com.ar/empresa/lujos-librerias/" TargetMode="External" Id="rId1040" /><Relationship Type="http://schemas.openxmlformats.org/officeDocument/2006/relationships/hyperlink" Target="https://guiarsanrafael.com.ar/empresa/lujos-librerias-3/" TargetMode="External" Id="rId1041" /><Relationship Type="http://schemas.openxmlformats.org/officeDocument/2006/relationships/hyperlink" Target="https://guiarsanrafael.com.ar/empresa/luna-serena-holistica-deco-home/" TargetMode="External" Id="rId1042" /><Relationship Type="http://schemas.openxmlformats.org/officeDocument/2006/relationships/hyperlink" Target="https://guiarsanrafael.com.ar/empresa/lupo-agostina-vivian/" TargetMode="External" Id="rId1043" /><Relationship Type="http://schemas.openxmlformats.org/officeDocument/2006/relationships/hyperlink" Target="https://guiarsanrafael.com.ar/empresa/lopez-de-diaz-valeria/" TargetMode="External" Id="rId1044" /><Relationship Type="http://schemas.openxmlformats.org/officeDocument/2006/relationships/hyperlink" Target="https://guiarsanrafael.com.ar/empresa/lopez-rita-mariana/" TargetMode="External" Id="rId1045" /><Relationship Type="http://schemas.openxmlformats.org/officeDocument/2006/relationships/hyperlink" Target="https://guiarsanrafael.com.ar/empresa/lobrador/" TargetMode="External" Id="rId1046" /><Relationship Type="http://schemas.openxmlformats.org/officeDocument/2006/relationships/hyperlink" Target="https://guiarsanrafael.com.ar/empresa/m-y-j-cortinas-diseno/" TargetMode="External" Id="rId1047" /><Relationship Type="http://schemas.openxmlformats.org/officeDocument/2006/relationships/hyperlink" Target="https://guiarsanrafael.com.ar/empresa/m-y-m-estudio-juridico/" TargetMode="External" Id="rId1048" /><Relationship Type="http://schemas.openxmlformats.org/officeDocument/2006/relationships/hyperlink" Target="https://guiarsanrafael.com.ar/empresa/m-lourdes-perez/" TargetMode="External" Id="rId1049" /><Relationship Type="http://schemas.openxmlformats.org/officeDocument/2006/relationships/hyperlink" Target="https://guiarsanrafael.com.ar/empresa/m-paula-francescini-la-segunda/" TargetMode="External" Id="rId1050" /><Relationship Type="http://schemas.openxmlformats.org/officeDocument/2006/relationships/hyperlink" Target="https://guiarsanrafael.com.ar/empresa/macarena-carretero/" TargetMode="External" Id="rId1051" /><Relationship Type="http://schemas.openxmlformats.org/officeDocument/2006/relationships/hyperlink" Target="https://guiarsanrafael.com.ar/empresa/macarena-conforti/" TargetMode="External" Id="rId1052" /><Relationship Type="http://schemas.openxmlformats.org/officeDocument/2006/relationships/hyperlink" Target="https://guiarsanrafael.com.ar/empresa/macarena-perez/" TargetMode="External" Id="rId1053" /><Relationship Type="http://schemas.openxmlformats.org/officeDocument/2006/relationships/hyperlink" Target="https://guiarsanrafael.com.ar/empresa/mader-duck-muebleria-deco-y-diseno/" TargetMode="External" Id="rId1054" /><Relationship Type="http://schemas.openxmlformats.org/officeDocument/2006/relationships/hyperlink" Target="https://guiarsanrafael.com.ar/empresa/maderera-cocos/" TargetMode="External" Id="rId1055" /><Relationship Type="http://schemas.openxmlformats.org/officeDocument/2006/relationships/hyperlink" Target="https://guiarsanrafael.com.ar/empresa/madero-barber-shop/" TargetMode="External" Id="rId1056" /><Relationship Type="http://schemas.openxmlformats.org/officeDocument/2006/relationships/hyperlink" Target="https://guiarsanrafael.com.ar/empresa/mafalda-insumos-para-peluquerias/" TargetMode="External" Id="rId1057" /><Relationship Type="http://schemas.openxmlformats.org/officeDocument/2006/relationships/hyperlink" Target="https://guiarsanrafael.com.ar/empresa/maggi-maria-eugenia/" TargetMode="External" Id="rId1058" /><Relationship Type="http://schemas.openxmlformats.org/officeDocument/2006/relationships/hyperlink" Target="https://guiarsanrafael.com.ar/empresa/magnolia-moda-circular/" TargetMode="External" Id="rId1059" /><Relationship Type="http://schemas.openxmlformats.org/officeDocument/2006/relationships/hyperlink" Target="https://guiarsanrafael.com.ar/empresa/mahal-sushi/" TargetMode="External" Id="rId1060" /><Relationship Type="http://schemas.openxmlformats.org/officeDocument/2006/relationships/hyperlink" Target="https://guiarsanrafael.com.ar/empresa/maira-yamila-rigazzio/" TargetMode="External" Id="rId1061" /><Relationship Type="http://schemas.openxmlformats.org/officeDocument/2006/relationships/hyperlink" Target="https://guiarsanrafael.com.ar/empresa/malanca-agro-maquinarias-srl-proveedor-de-equipos-agricolas/" TargetMode="External" Id="rId1062" /><Relationship Type="http://schemas.openxmlformats.org/officeDocument/2006/relationships/hyperlink" Target="https://guiarsanrafael.com.ar/empresa/malco-rubin/" TargetMode="External" Id="rId1063" /><Relationship Type="http://schemas.openxmlformats.org/officeDocument/2006/relationships/hyperlink" Target="https://guiarsanrafael.com.ar/empresa/mancino-juan-manuel/" TargetMode="External" Id="rId1064" /><Relationship Type="http://schemas.openxmlformats.org/officeDocument/2006/relationships/hyperlink" Target="https://guiarsanrafael.com.ar/empresa/mancino-maria-jose/" TargetMode="External" Id="rId1065" /><Relationship Type="http://schemas.openxmlformats.org/officeDocument/2006/relationships/hyperlink" Target="https://guiarsanrafael.com.ar/empresa/manjares-casa-de-comidas/" TargetMode="External" Id="rId1066" /><Relationship Type="http://schemas.openxmlformats.org/officeDocument/2006/relationships/hyperlink" Target="https://guiarsanrafael.com.ar/empresa/mantovani-marisel/" TargetMode="External" Id="rId1067" /><Relationship Type="http://schemas.openxmlformats.org/officeDocument/2006/relationships/hyperlink" Target="https://guiarsanrafael.com.ar/empresa/mape-limpieza/" TargetMode="External" Id="rId1068" /><Relationship Type="http://schemas.openxmlformats.org/officeDocument/2006/relationships/hyperlink" Target="https://guiarsanrafael.com.ar/empresa/mara-mancini/" TargetMode="External" Id="rId1069" /><Relationship Type="http://schemas.openxmlformats.org/officeDocument/2006/relationships/hyperlink" Target="https://guiarsanrafael.com.ar/empresa/marakum-yoga-y-masoterapia/" TargetMode="External" Id="rId1070" /><Relationship Type="http://schemas.openxmlformats.org/officeDocument/2006/relationships/hyperlink" Target="https://guiarsanrafael.com.ar/empresa/marcela-fernadez/" TargetMode="External" Id="rId1071" /><Relationship Type="http://schemas.openxmlformats.org/officeDocument/2006/relationships/hyperlink" Target="https://guiarsanrafael.com.ar/empresa/marcelino-bessio-oficial-albanil/" TargetMode="External" Id="rId1072" /><Relationship Type="http://schemas.openxmlformats.org/officeDocument/2006/relationships/hyperlink" Target="https://guiarsanrafael.com.ar/empresa/marcelo-ferreyra/" TargetMode="External" Id="rId1073" /><Relationship Type="http://schemas.openxmlformats.org/officeDocument/2006/relationships/hyperlink" Target="https://guiarsanrafael.com.ar/empresa/marchetti-motos/" TargetMode="External" Id="rId1074" /><Relationship Type="http://schemas.openxmlformats.org/officeDocument/2006/relationships/hyperlink" Target="https://guiarsanrafael.com.ar/empresa/marcial-gim/" TargetMode="External" Id="rId1075" /><Relationship Type="http://schemas.openxmlformats.org/officeDocument/2006/relationships/hyperlink" Target="https://guiarsanrafael.com.ar/empresa/marco-libreria/" TargetMode="External" Id="rId1076" /><Relationship Type="http://schemas.openxmlformats.org/officeDocument/2006/relationships/hyperlink" Target="https://guiarsanrafael.com.ar/empresa/marcos-barroso/" TargetMode="External" Id="rId1077" /><Relationship Type="http://schemas.openxmlformats.org/officeDocument/2006/relationships/hyperlink" Target="https://guiarsanrafael.com.ar/empresa/marcos-borgia/" TargetMode="External" Id="rId1078" /><Relationship Type="http://schemas.openxmlformats.org/officeDocument/2006/relationships/hyperlink" Target="https://guiarsanrafael.com.ar/empresa/5061/" TargetMode="External" Id="rId1079" /><Relationship Type="http://schemas.openxmlformats.org/officeDocument/2006/relationships/hyperlink" Target="https://guiarsanrafael.com.ar/empresa/marcos-morales/" TargetMode="External" Id="rId1080" /><Relationship Type="http://schemas.openxmlformats.org/officeDocument/2006/relationships/hyperlink" Target="https://guiarsanrafael.com.ar/empresa/marcos-prieto/" TargetMode="External" Id="rId1081" /><Relationship Type="http://schemas.openxmlformats.org/officeDocument/2006/relationships/hyperlink" Target="https://guiarsanrafael.com.ar/empresa/marcos-sanchez/" TargetMode="External" Id="rId1082" /><Relationship Type="http://schemas.openxmlformats.org/officeDocument/2006/relationships/hyperlink" Target="https://guiarsanrafael.com.ar/empresa/maren-vestidos/" TargetMode="External" Id="rId1083" /><Relationship Type="http://schemas.openxmlformats.org/officeDocument/2006/relationships/hyperlink" Target="https://guiarsanrafael.com.ar/empresa/maria-carolinasat/" TargetMode="External" Id="rId1084" /><Relationship Type="http://schemas.openxmlformats.org/officeDocument/2006/relationships/hyperlink" Target="https://guiarsanrafael.com.ar/empresa/cielo-diaz/" TargetMode="External" Id="rId1085" /><Relationship Type="http://schemas.openxmlformats.org/officeDocument/2006/relationships/hyperlink" Target="https://guiarsanrafael.com.ar/empresa/maria-elena-murad/" TargetMode="External" Id="rId1086" /><Relationship Type="http://schemas.openxmlformats.org/officeDocument/2006/relationships/hyperlink" Target="https://guiarsanrafael.com.ar/empresa/maria-eugenia-gonzalez/" TargetMode="External" Id="rId1087" /><Relationship Type="http://schemas.openxmlformats.org/officeDocument/2006/relationships/hyperlink" Target="https://guiarsanrafael.com.ar/empresa/maria-julia-larghi/" TargetMode="External" Id="rId1088" /><Relationship Type="http://schemas.openxmlformats.org/officeDocument/2006/relationships/hyperlink" Target="https://guiarsanrafael.com.ar/empresa/maria-laura-sodero/" TargetMode="External" Id="rId1089" /><Relationship Type="http://schemas.openxmlformats.org/officeDocument/2006/relationships/hyperlink" Target="https://guiarsanrafael.com.ar/empresa/maria-lourdes-diaz-chain/" TargetMode="External" Id="rId1090" /><Relationship Type="http://schemas.openxmlformats.org/officeDocument/2006/relationships/hyperlink" Target="https://guiarsanrafael.com.ar/empresa/maria-marta-diaz/" TargetMode="External" Id="rId1091" /><Relationship Type="http://schemas.openxmlformats.org/officeDocument/2006/relationships/hyperlink" Target="https://guiarsanrafael.com.ar/empresa/maria-pamela-rojas/" TargetMode="External" Id="rId1092" /><Relationship Type="http://schemas.openxmlformats.org/officeDocument/2006/relationships/hyperlink" Target="https://guiarsanrafael.com.ar/empresa/maria-paula-franceschini/" TargetMode="External" Id="rId1093" /><Relationship Type="http://schemas.openxmlformats.org/officeDocument/2006/relationships/hyperlink" Target="https://guiarsanrafael.com.ar/empresa/maria-victoria-hernandez/" TargetMode="External" Id="rId1094" /><Relationship Type="http://schemas.openxmlformats.org/officeDocument/2006/relationships/hyperlink" Target="https://guiarsanrafael.com.ar/empresa/maria-victoria-palomares/" TargetMode="External" Id="rId1095" /><Relationship Type="http://schemas.openxmlformats.org/officeDocument/2006/relationships/hyperlink" Target="https://guiarsanrafael.com.ar/empresa/mariana-piragine/" TargetMode="External" Id="rId1096" /><Relationship Type="http://schemas.openxmlformats.org/officeDocument/2006/relationships/hyperlink" Target="https://guiarsanrafael.com.ar/empresa/castillo-mariana/" TargetMode="External" Id="rId1097" /><Relationship Type="http://schemas.openxmlformats.org/officeDocument/2006/relationships/hyperlink" Target="https://guiarsanrafael.com.ar/empresa/mariana-castillo/" TargetMode="External" Id="rId1098" /><Relationship Type="http://schemas.openxmlformats.org/officeDocument/2006/relationships/hyperlink" Target="https://guiarsanrafael.com.ar/empresa/mariana-chesak/" TargetMode="External" Id="rId1099" /><Relationship Type="http://schemas.openxmlformats.org/officeDocument/2006/relationships/hyperlink" Target="https://guiarsanrafael.com.ar/empresa/mariana-ochoa-2/" TargetMode="External" Id="rId1100" /><Relationship Type="http://schemas.openxmlformats.org/officeDocument/2006/relationships/hyperlink" Target="https://guiarsanrafael.com.ar/empresa/mariana-ochoa/" TargetMode="External" Id="rId1101" /><Relationship Type="http://schemas.openxmlformats.org/officeDocument/2006/relationships/hyperlink" Target="https://guiarsanrafael.com.ar/empresa/mariana-teruel-galletti/" TargetMode="External" Id="rId1102" /><Relationship Type="http://schemas.openxmlformats.org/officeDocument/2006/relationships/hyperlink" Target="https://guiarsanrafael.com.ar/empresa/mariano-acosta-neumaticos/" TargetMode="External" Id="rId1103" /><Relationship Type="http://schemas.openxmlformats.org/officeDocument/2006/relationships/hyperlink" Target="https://guiarsanrafael.com.ar/empresa/mariano-ezequiel-diaz/" TargetMode="External" Id="rId1104" /><Relationship Type="http://schemas.openxmlformats.org/officeDocument/2006/relationships/hyperlink" Target="https://guiarsanrafael.com.ar/empresa/mariano-lopez/" TargetMode="External" Id="rId1105" /><Relationship Type="http://schemas.openxmlformats.org/officeDocument/2006/relationships/hyperlink" Target="https://guiarsanrafael.com.ar/empresa/mariano-masini/" TargetMode="External" Id="rId1106" /><Relationship Type="http://schemas.openxmlformats.org/officeDocument/2006/relationships/hyperlink" Target="https://guiarsanrafael.com.ar/empresa/mariano-parasecoli/" TargetMode="External" Id="rId1107" /><Relationship Type="http://schemas.openxmlformats.org/officeDocument/2006/relationships/hyperlink" Target="https://guiarsanrafael.com.ar/empresa/mariano-raush-serena/" TargetMode="External" Id="rId1108" /><Relationship Type="http://schemas.openxmlformats.org/officeDocument/2006/relationships/hyperlink" Target="https://guiarsanrafael.com.ar/empresa/maribel-trench/" TargetMode="External" Id="rId1109" /><Relationship Type="http://schemas.openxmlformats.org/officeDocument/2006/relationships/hyperlink" Target="https://guiarsanrafael.com.ar/empresa/maricel-suoni-seifert/" TargetMode="External" Id="rId1110" /><Relationship Type="http://schemas.openxmlformats.org/officeDocument/2006/relationships/hyperlink" Target="https://guiarsanrafael.com.ar/empresa/mariela-castro/" TargetMode="External" Id="rId1111" /><Relationship Type="http://schemas.openxmlformats.org/officeDocument/2006/relationships/hyperlink" Target="https://guiarsanrafael.com.ar/empresa/mariela-penedo-propiedades/" TargetMode="External" Id="rId1112" /><Relationship Type="http://schemas.openxmlformats.org/officeDocument/2006/relationships/hyperlink" Target="https://guiarsanrafael.com.ar/empresa/mariela-pereto/" TargetMode="External" Id="rId1113" /><Relationship Type="http://schemas.openxmlformats.org/officeDocument/2006/relationships/hyperlink" Target="https://guiarsanrafael.com.ar/empresa/mariela-piastrellini/" TargetMode="External" Id="rId1114" /><Relationship Type="http://schemas.openxmlformats.org/officeDocument/2006/relationships/hyperlink" Target="https://guiarsanrafael.com.ar/empresa/mariela-ricciardelli/" TargetMode="External" Id="rId1115" /><Relationship Type="http://schemas.openxmlformats.org/officeDocument/2006/relationships/hyperlink" Target="https://guiarsanrafael.com.ar/empresa/mariela-villafane/" TargetMode="External" Id="rId1116" /><Relationship Type="http://schemas.openxmlformats.org/officeDocument/2006/relationships/hyperlink" Target="https://guiarsanrafael.com.ar/empresa/marina-ayelen-chirino/" TargetMode="External" Id="rId1117" /><Relationship Type="http://schemas.openxmlformats.org/officeDocument/2006/relationships/hyperlink" Target="https://guiarsanrafael.com.ar/empresa/marina-coussillan/" TargetMode="External" Id="rId1118" /><Relationship Type="http://schemas.openxmlformats.org/officeDocument/2006/relationships/hyperlink" Target="https://guiarsanrafael.com.ar/empresa/marina-oldani/" TargetMode="External" Id="rId1119" /><Relationship Type="http://schemas.openxmlformats.org/officeDocument/2006/relationships/hyperlink" Target="https://guiarsanrafael.com.ar/empresa/6900/" TargetMode="External" Id="rId1120" /><Relationship Type="http://schemas.openxmlformats.org/officeDocument/2006/relationships/hyperlink" Target="https://guiarsanrafael.com.ar/empresa/mario-c-atencio-s-a-2/" TargetMode="External" Id="rId1121" /><Relationship Type="http://schemas.openxmlformats.org/officeDocument/2006/relationships/hyperlink" Target="https://guiarsanrafael.com.ar/empresa/mario-c-atencio-s-a/" TargetMode="External" Id="rId1122" /><Relationship Type="http://schemas.openxmlformats.org/officeDocument/2006/relationships/hyperlink" Target="https://guiarsanrafael.com.ar/empresa/mario-javier-yapur/" TargetMode="External" Id="rId1123" /><Relationship Type="http://schemas.openxmlformats.org/officeDocument/2006/relationships/hyperlink" Target="https://guiarsanrafael.com.ar/empresa/marisa-e-fernadez-de-cian/" TargetMode="External" Id="rId1124" /><Relationship Type="http://schemas.openxmlformats.org/officeDocument/2006/relationships/hyperlink" Target="https://guiarsanrafael.com.ar/empresa/marisa-fransisco/" TargetMode="External" Id="rId1125" /><Relationship Type="http://schemas.openxmlformats.org/officeDocument/2006/relationships/hyperlink" Target="https://guiarsanrafael.com.ar/empresa/marisol-orlando/" TargetMode="External" Id="rId1126" /><Relationship Type="http://schemas.openxmlformats.org/officeDocument/2006/relationships/hyperlink" Target="https://guiarsanrafael.com.ar/empresa/mariangeles-pizarro-bombal-456-260-423-7623/" TargetMode="External" Id="rId1127" /><Relationship Type="http://schemas.openxmlformats.org/officeDocument/2006/relationships/hyperlink" Target="https://guiarsanrafael.com.ar/empresa/marluks/" TargetMode="External" Id="rId1128" /><Relationship Type="http://schemas.openxmlformats.org/officeDocument/2006/relationships/hyperlink" Target="https://guiarsanrafael.com.ar/empresa/marta-orce/" TargetMode="External" Id="rId1129" /><Relationship Type="http://schemas.openxmlformats.org/officeDocument/2006/relationships/hyperlink" Target="https://guiarsanrafael.com.ar/empresa/martha-raquel-de-nevreze/" TargetMode="External" Id="rId1130" /><Relationship Type="http://schemas.openxmlformats.org/officeDocument/2006/relationships/hyperlink" Target="https://guiarsanrafael.com.ar/empresa/martin-araya/" TargetMode="External" Id="rId1131" /><Relationship Type="http://schemas.openxmlformats.org/officeDocument/2006/relationships/hyperlink" Target="https://guiarsanrafael.com.ar/empresa/martin-barbod/" TargetMode="External" Id="rId1132" /><Relationship Type="http://schemas.openxmlformats.org/officeDocument/2006/relationships/hyperlink" Target="https://guiarsanrafael.com.ar/empresa/martin-coduti/" TargetMode="External" Id="rId1133" /><Relationship Type="http://schemas.openxmlformats.org/officeDocument/2006/relationships/hyperlink" Target="https://guiarsanrafael.com.ar/empresa/martin-leroy/" TargetMode="External" Id="rId1134" /><Relationship Type="http://schemas.openxmlformats.org/officeDocument/2006/relationships/hyperlink" Target="https://guiarsanrafael.com.ar/empresa/martin-welch-estilista/" TargetMode="External" Id="rId1135" /><Relationship Type="http://schemas.openxmlformats.org/officeDocument/2006/relationships/hyperlink" Target="https://guiarsanrafael.com.ar/empresa/martinezgisela-eliana/" TargetMode="External" Id="rId1136" /><Relationship Type="http://schemas.openxmlformats.org/officeDocument/2006/relationships/hyperlink" Target="https://guiarsanrafael.com.ar/empresa/martinez-ciriza-fatima-irene/" TargetMode="External" Id="rId1137" /><Relationship Type="http://schemas.openxmlformats.org/officeDocument/2006/relationships/hyperlink" Target="https://guiarsanrafael.com.ar/empresa/martinez-construccion-metalurgica/" TargetMode="External" Id="rId1138" /><Relationship Type="http://schemas.openxmlformats.org/officeDocument/2006/relationships/hyperlink" Target="https://guiarsanrafael.com.ar/empresa/martos-paula-c/" TargetMode="External" Id="rId1139" /><Relationship Type="http://schemas.openxmlformats.org/officeDocument/2006/relationships/hyperlink" Target="https://guiarsanrafael.com.ar/empresa/martin-alloni-julieta/" TargetMode="External" Id="rId1140" /><Relationship Type="http://schemas.openxmlformats.org/officeDocument/2006/relationships/hyperlink" Target="https://guiarsanrafael.com.ar/empresa/martin-lubricantes/" TargetMode="External" Id="rId1141" /><Relationship Type="http://schemas.openxmlformats.org/officeDocument/2006/relationships/hyperlink" Target="https://guiarsanrafael.com.ar/empresa/martin-oliva/" TargetMode="External" Id="rId1142" /><Relationship Type="http://schemas.openxmlformats.org/officeDocument/2006/relationships/hyperlink" Target="https://guiarsanrafael.com.ar/empresa/martin-quiroga/" TargetMode="External" Id="rId1143" /><Relationship Type="http://schemas.openxmlformats.org/officeDocument/2006/relationships/hyperlink" Target="https://guiarsanrafael.com.ar/empresa/martin-taboas/" TargetMode="External" Id="rId1144" /><Relationship Type="http://schemas.openxmlformats.org/officeDocument/2006/relationships/hyperlink" Target="https://guiarsanrafael.com.ar/empresa/maria-eugenia-baldi/" TargetMode="External" Id="rId1145" /><Relationship Type="http://schemas.openxmlformats.org/officeDocument/2006/relationships/hyperlink" Target="https://guiarsanrafael.com.ar/empresa/maria-fernanda-blas/" TargetMode="External" Id="rId1146" /><Relationship Type="http://schemas.openxmlformats.org/officeDocument/2006/relationships/hyperlink" Target="https://guiarsanrafael.com.ar/empresa/maria-alejandra-bittar/" TargetMode="External" Id="rId1147" /><Relationship Type="http://schemas.openxmlformats.org/officeDocument/2006/relationships/hyperlink" Target="https://guiarsanrafael.com.ar/empresa/maria-ayelen-juarez/" TargetMode="External" Id="rId1148" /><Relationship Type="http://schemas.openxmlformats.org/officeDocument/2006/relationships/hyperlink" Target="https://guiarsanrafael.com.ar/empresa/maria-belen-azcurra/" TargetMode="External" Id="rId1149" /><Relationship Type="http://schemas.openxmlformats.org/officeDocument/2006/relationships/hyperlink" Target="https://guiarsanrafael.com.ar/empresa/maria-carolina-sequeiros/" TargetMode="External" Id="rId1150" /><Relationship Type="http://schemas.openxmlformats.org/officeDocument/2006/relationships/hyperlink" Target="https://guiarsanrafael.com.ar/empresa/maria-cecilia-kasjan/" TargetMode="External" Id="rId1151" /><Relationship Type="http://schemas.openxmlformats.org/officeDocument/2006/relationships/hyperlink" Target="https://guiarsanrafael.com.ar/empresa/maria-cecilia-sibantos/" TargetMode="External" Id="rId1152" /><Relationship Type="http://schemas.openxmlformats.org/officeDocument/2006/relationships/hyperlink" Target="https://guiarsanrafael.com.ar/empresa/maria-celia-cornejo/" TargetMode="External" Id="rId1153" /><Relationship Type="http://schemas.openxmlformats.org/officeDocument/2006/relationships/hyperlink" Target="https://guiarsanrafael.com.ar/empresa/maria-celina-olivares-ravalle/" TargetMode="External" Id="rId1154" /><Relationship Type="http://schemas.openxmlformats.org/officeDocument/2006/relationships/hyperlink" Target="https://guiarsanrafael.com.ar/empresa/maria-elena-encinas/" TargetMode="External" Id="rId1155" /><Relationship Type="http://schemas.openxmlformats.org/officeDocument/2006/relationships/hyperlink" Target="https://guiarsanrafael.com.ar/empresa/maria-emilia-pere/" TargetMode="External" Id="rId1156" /><Relationship Type="http://schemas.openxmlformats.org/officeDocument/2006/relationships/hyperlink" Target="https://guiarsanrafael.com.ar/empresa/maria-eugenia-baez/" TargetMode="External" Id="rId1157" /><Relationship Type="http://schemas.openxmlformats.org/officeDocument/2006/relationships/hyperlink" Target="https://guiarsanrafael.com.ar/empresa/maria-eugenia-morales/" TargetMode="External" Id="rId1158" /><Relationship Type="http://schemas.openxmlformats.org/officeDocument/2006/relationships/hyperlink" Target="https://guiarsanrafael.com.ar/empresa/maria-eugenia-morganti/" TargetMode="External" Id="rId1159" /><Relationship Type="http://schemas.openxmlformats.org/officeDocument/2006/relationships/hyperlink" Target="https://guiarsanrafael.com.ar/empresa/maria-florencia-azcarate/" TargetMode="External" Id="rId1160" /><Relationship Type="http://schemas.openxmlformats.org/officeDocument/2006/relationships/hyperlink" Target="https://guiarsanrafael.com.ar/empresa/maria-florentina-tapia/" TargetMode="External" Id="rId1161" /><Relationship Type="http://schemas.openxmlformats.org/officeDocument/2006/relationships/hyperlink" Target="https://guiarsanrafael.com.ar/empresa/maria-ines-cruz-perez/" TargetMode="External" Id="rId1162" /><Relationship Type="http://schemas.openxmlformats.org/officeDocument/2006/relationships/hyperlink" Target="https://guiarsanrafael.com.ar/empresa/maria-isabel-quiroga/" TargetMode="External" Id="rId1163" /><Relationship Type="http://schemas.openxmlformats.org/officeDocument/2006/relationships/hyperlink" Target="https://guiarsanrafael.com.ar/empresa/maria-jimena-soria/" TargetMode="External" Id="rId1164" /><Relationship Type="http://schemas.openxmlformats.org/officeDocument/2006/relationships/hyperlink" Target="https://guiarsanrafael.com.ar/empresa/maria-sol-santarossa/" TargetMode="External" Id="rId1165" /><Relationship Type="http://schemas.openxmlformats.org/officeDocument/2006/relationships/hyperlink" Target="https://guiarsanrafael.com.ar/empresa/maria-valeria-labbe/" TargetMode="External" Id="rId1166" /><Relationship Type="http://schemas.openxmlformats.org/officeDocument/2006/relationships/hyperlink" Target="https://guiarsanrafael.com.ar/empresa/maria-victoria-garcia/" TargetMode="External" Id="rId1167" /><Relationship Type="http://schemas.openxmlformats.org/officeDocument/2006/relationships/hyperlink" Target="https://guiarsanrafael.com.ar/empresa/maria-virginia-sanchez/" TargetMode="External" Id="rId1168" /><Relationship Type="http://schemas.openxmlformats.org/officeDocument/2006/relationships/hyperlink" Target="https://guiarsanrafael.com.ar/empresa/mas-color-pintureria/" TargetMode="External" Id="rId1169" /><Relationship Type="http://schemas.openxmlformats.org/officeDocument/2006/relationships/hyperlink" Target="https://guiarsanrafael.com.ar/empresa/mas-ferreteria/" TargetMode="External" Id="rId1170" /><Relationship Type="http://schemas.openxmlformats.org/officeDocument/2006/relationships/hyperlink" Target="https://guiarsanrafael.com.ar/empresa/mas-instituto-medico/" TargetMode="External" Id="rId1171" /><Relationship Type="http://schemas.openxmlformats.org/officeDocument/2006/relationships/hyperlink" Target="https://guiarsanrafael.com.ar/empresa/mastrocola-paola-j/" TargetMode="External" Id="rId1172" /><Relationship Type="http://schemas.openxmlformats.org/officeDocument/2006/relationships/hyperlink" Target="https://guiarsanrafael.com.ar/empresa/materia-premium/" TargetMode="External" Id="rId1173" /><Relationship Type="http://schemas.openxmlformats.org/officeDocument/2006/relationships/hyperlink" Target="https://guiarsanrafael.com.ar/empresa/matervi-productos-y-servicios/" TargetMode="External" Id="rId1174" /><Relationship Type="http://schemas.openxmlformats.org/officeDocument/2006/relationships/hyperlink" Target="https://guiarsanrafael.com.ar/empresa/matias-caro/" TargetMode="External" Id="rId1175" /><Relationship Type="http://schemas.openxmlformats.org/officeDocument/2006/relationships/hyperlink" Target="https://guiarsanrafael.com.ar/empresa/matias-ponte-lafalla/" TargetMode="External" Id="rId1176" /><Relationship Type="http://schemas.openxmlformats.org/officeDocument/2006/relationships/hyperlink" Target="https://guiarsanrafael.com.ar/empresa/matias-zanetti/" TargetMode="External" Id="rId1177" /><Relationship Type="http://schemas.openxmlformats.org/officeDocument/2006/relationships/hyperlink" Target="https://guiarsanrafael.com.ar/empresa/mattyrulo-barber-shop/" TargetMode="External" Id="rId1178" /><Relationship Type="http://schemas.openxmlformats.org/officeDocument/2006/relationships/hyperlink" Target="https://guiarsanrafael.com.ar/empresa/mauricio-alessio/" TargetMode="External" Id="rId1179" /><Relationship Type="http://schemas.openxmlformats.org/officeDocument/2006/relationships/hyperlink" Target="https://guiarsanrafael.com.ar/empresa/7954/" TargetMode="External" Id="rId1180" /><Relationship Type="http://schemas.openxmlformats.org/officeDocument/2006/relationships/hyperlink" Target="https://guiarsanrafael.com.ar/empresa/max-optica/" TargetMode="External" Id="rId1181" /><Relationship Type="http://schemas.openxmlformats.org/officeDocument/2006/relationships/hyperlink" Target="https://guiarsanrafael.com.ar/empresa/maya-cornejo/" TargetMode="External" Id="rId1182" /><Relationship Type="http://schemas.openxmlformats.org/officeDocument/2006/relationships/hyperlink" Target="https://guiarsanrafael.com.ar/empresa/maya-leandro-andres/" TargetMode="External" Id="rId1183" /><Relationship Type="http://schemas.openxmlformats.org/officeDocument/2006/relationships/hyperlink" Target="https://guiarsanrafael.com.ar/empresa/mayra-carallos/" TargetMode="External" Id="rId1184" /><Relationship Type="http://schemas.openxmlformats.org/officeDocument/2006/relationships/hyperlink" Target="https://guiarsanrafael.com.ar/empresa/mayra-vilchez/" TargetMode="External" Id="rId1185" /><Relationship Type="http://schemas.openxmlformats.org/officeDocument/2006/relationships/hyperlink" Target="https://guiarsanrafael.com.ar/empresa/mc-racing/" TargetMode="External" Id="rId1186" /><Relationship Type="http://schemas.openxmlformats.org/officeDocument/2006/relationships/hyperlink" Target="https://guiarsanrafael.com.ar/empresa/mc-repuestos/" TargetMode="External" Id="rId1187" /><Relationship Type="http://schemas.openxmlformats.org/officeDocument/2006/relationships/hyperlink" Target="https://guiarsanrafael.com.ar/empresa/mdt-materiales-deportivos/" TargetMode="External" Id="rId1188" /><Relationship Type="http://schemas.openxmlformats.org/officeDocument/2006/relationships/hyperlink" Target="https://guiarsanrafael.com.ar/empresa/mecanica-carlos-munoz/" TargetMode="External" Id="rId1189" /><Relationship Type="http://schemas.openxmlformats.org/officeDocument/2006/relationships/hyperlink" Target="https://guiarsanrafael.com.ar/empresa/mecanica-salinas/" TargetMode="External" Id="rId1190" /><Relationship Type="http://schemas.openxmlformats.org/officeDocument/2006/relationships/hyperlink" Target="https://guiarsanrafael.com.ar/empresa/mecanica-campos/" TargetMode="External" Id="rId1191" /><Relationship Type="http://schemas.openxmlformats.org/officeDocument/2006/relationships/hyperlink" Target="https://guiarsanrafael.com.ar/empresa/mecanica-franceschini/" TargetMode="External" Id="rId1192" /><Relationship Type="http://schemas.openxmlformats.org/officeDocument/2006/relationships/hyperlink" Target="https://guiarsanrafael.com.ar/empresa/mecanica-pedrosa/" TargetMode="External" Id="rId1193" /><Relationship Type="http://schemas.openxmlformats.org/officeDocument/2006/relationships/hyperlink" Target="https://guiarsanrafael.com.ar/empresa/medde-maria-belen/" TargetMode="External" Id="rId1194" /><Relationship Type="http://schemas.openxmlformats.org/officeDocument/2006/relationships/hyperlink" Target="https://guiarsanrafael.com.ar/empresa/mega-madera-s-r-l/" TargetMode="External" Id="rId1195" /><Relationship Type="http://schemas.openxmlformats.org/officeDocument/2006/relationships/hyperlink" Target="https://guiarsanrafael.com.ar/empresa/megazord-comics/" TargetMode="External" Id="rId1196" /><Relationship Type="http://schemas.openxmlformats.org/officeDocument/2006/relationships/hyperlink" Target="https://guiarsanrafael.com.ar/empresa/melina-crespo/" TargetMode="External" Id="rId1197" /><Relationship Type="http://schemas.openxmlformats.org/officeDocument/2006/relationships/hyperlink" Target="https://guiarsanrafael.com.ar/empresa/melisa-daniela-lopez/" TargetMode="External" Id="rId1198" /><Relationship Type="http://schemas.openxmlformats.org/officeDocument/2006/relationships/hyperlink" Target="https://guiarsanrafael.com.ar/empresa/melisa-fuentes/" TargetMode="External" Id="rId1199" /><Relationship Type="http://schemas.openxmlformats.org/officeDocument/2006/relationships/hyperlink" Target="https://guiarsanrafael.com.ar/empresa/melisa-lopez/" TargetMode="External" Id="rId1200" /><Relationship Type="http://schemas.openxmlformats.org/officeDocument/2006/relationships/hyperlink" Target="https://guiarsanrafael.com.ar/empresa/melisa-quiroga/" TargetMode="External" Id="rId1201" /><Relationship Type="http://schemas.openxmlformats.org/officeDocument/2006/relationships/hyperlink" Target="https://guiarsanrafael.com.ar/empresa/memorial-salas-velatorias/" TargetMode="External" Id="rId1202" /><Relationship Type="http://schemas.openxmlformats.org/officeDocument/2006/relationships/hyperlink" Target="https://guiarsanrafael.com.ar/empresa/mendez-gisela-del-r/" TargetMode="External" Id="rId1203" /><Relationship Type="http://schemas.openxmlformats.org/officeDocument/2006/relationships/hyperlink" Target="https://guiarsanrafael.com.ar/empresa/mendoza-bienes-raices/" TargetMode="External" Id="rId1204" /><Relationship Type="http://schemas.openxmlformats.org/officeDocument/2006/relationships/hyperlink" Target="https://guiarsanrafael.com.ar/empresa/mendoza-textil-living-san-rafael/" TargetMode="External" Id="rId1205" /><Relationship Type="http://schemas.openxmlformats.org/officeDocument/2006/relationships/hyperlink" Target="https://guiarsanrafael.com.ar/empresa/mercado-maria-sol/" TargetMode="External" Id="rId1206" /><Relationship Type="http://schemas.openxmlformats.org/officeDocument/2006/relationships/hyperlink" Target="https://guiarsanrafael.com.ar/empresa/mercau-lucas-sebastian/" TargetMode="External" Id="rId1207" /><Relationship Type="http://schemas.openxmlformats.org/officeDocument/2006/relationships/hyperlink" Target="https://guiarsanrafael.com.ar/empresa/merenda-electricidad/" TargetMode="External" Id="rId1208" /><Relationship Type="http://schemas.openxmlformats.org/officeDocument/2006/relationships/hyperlink" Target="https://guiarsanrafael.com.ar/empresa/merino-hnos/" TargetMode="External" Id="rId1209" /><Relationship Type="http://schemas.openxmlformats.org/officeDocument/2006/relationships/hyperlink" Target="https://guiarsanrafael.com.ar/empresa/metalurgica-andres/" TargetMode="External" Id="rId1210" /><Relationship Type="http://schemas.openxmlformats.org/officeDocument/2006/relationships/hyperlink" Target="https://guiarsanrafael.com.ar/empresa/metalurgica-farina/" TargetMode="External" Id="rId1211" /><Relationship Type="http://schemas.openxmlformats.org/officeDocument/2006/relationships/hyperlink" Target="https://guiarsanrafael.com.ar/empresa/metalurgica-troyano/" TargetMode="External" Id="rId1212" /><Relationship Type="http://schemas.openxmlformats.org/officeDocument/2006/relationships/hyperlink" Target="https://guiarsanrafael.com.ar/empresa/meydac-marina-fernanda/" TargetMode="External" Id="rId1213" /><Relationship Type="http://schemas.openxmlformats.org/officeDocument/2006/relationships/hyperlink" Target="https://guiarsanrafael.com.ar/empresa/mg-ferreteria/" TargetMode="External" Id="rId1214" /><Relationship Type="http://schemas.openxmlformats.org/officeDocument/2006/relationships/hyperlink" Target="https://guiarsanrafael.com.ar/empresa/mi-cotillon/" TargetMode="External" Id="rId1215" /><Relationship Type="http://schemas.openxmlformats.org/officeDocument/2006/relationships/hyperlink" Target="https://guiarsanrafael.com.ar/empresa/mi-lubricentro/" TargetMode="External" Id="rId1216" /><Relationship Type="http://schemas.openxmlformats.org/officeDocument/2006/relationships/hyperlink" Target="https://guiarsanrafael.com.ar/empresa/mi-lugar-sin-t-a-c-c/" TargetMode="External" Id="rId1217" /><Relationship Type="http://schemas.openxmlformats.org/officeDocument/2006/relationships/hyperlink" Target="https://guiarsanrafael.com.ar/empresa/mi-momento-estilistas/" TargetMode="External" Id="rId1218" /><Relationship Type="http://schemas.openxmlformats.org/officeDocument/2006/relationships/hyperlink" Target="https://guiarsanrafael.com.ar/empresa/mi-nueva-retaseria/" TargetMode="External" Id="rId1219" /><Relationship Type="http://schemas.openxmlformats.org/officeDocument/2006/relationships/hyperlink" Target="https://guiarsanrafael.com.ar/empresa/mi-rincon-libreria/" TargetMode="External" Id="rId1220" /><Relationship Type="http://schemas.openxmlformats.org/officeDocument/2006/relationships/hyperlink" Target="https://guiarsanrafael.com.ar/empresa/mi-yerberia-almacen-de-yerba-mate/" TargetMode="External" Id="rId1221" /><Relationship Type="http://schemas.openxmlformats.org/officeDocument/2006/relationships/hyperlink" Target="https://guiarsanrafael.com.ar/empresa/mica-beauty-instituto-de-estetica/" TargetMode="External" Id="rId1222" /><Relationship Type="http://schemas.openxmlformats.org/officeDocument/2006/relationships/hyperlink" Target="https://guiarsanrafael.com.ar/empresa/mica-beauty-instituto/" TargetMode="External" Id="rId1223" /><Relationship Type="http://schemas.openxmlformats.org/officeDocument/2006/relationships/hyperlink" Target="https://guiarsanrafael.com.ar/empresa/miccoli-antonio-martin/" TargetMode="External" Id="rId1224" /><Relationship Type="http://schemas.openxmlformats.org/officeDocument/2006/relationships/hyperlink" Target="https://guiarsanrafael.com.ar/empresa/microbollos-estilo/" TargetMode="External" Id="rId1225" /><Relationship Type="http://schemas.openxmlformats.org/officeDocument/2006/relationships/hyperlink" Target="https://guiarsanrafael.com.ar/empresa/miguel-jose-david/" TargetMode="External" Id="rId1226" /><Relationship Type="http://schemas.openxmlformats.org/officeDocument/2006/relationships/hyperlink" Target="https://guiarsanrafael.com.ar/empresa/miguel-molinuevo-2/" TargetMode="External" Id="rId1227" /><Relationship Type="http://schemas.openxmlformats.org/officeDocument/2006/relationships/hyperlink" Target="https://guiarsanrafael.com.ar/empresa/mika-pet-shop/" TargetMode="External" Id="rId1228" /><Relationship Type="http://schemas.openxmlformats.org/officeDocument/2006/relationships/hyperlink" Target="https://guiarsanrafael.com.ar/empresa/mikelinos-restaurante/" TargetMode="External" Id="rId1229" /><Relationship Type="http://schemas.openxmlformats.org/officeDocument/2006/relationships/hyperlink" Target="https://guiarsanrafael.com.ar/empresa/milceades-cabrera/" TargetMode="External" Id="rId1230" /><Relationship Type="http://schemas.openxmlformats.org/officeDocument/2006/relationships/hyperlink" Target="https://guiarsanrafael.com.ar/empresa/millanti-viajes/" TargetMode="External" Id="rId1231" /><Relationship Type="http://schemas.openxmlformats.org/officeDocument/2006/relationships/hyperlink" Target="https://guiarsanrafael.com.ar/empresa/mimando-con-amor-panalera/" TargetMode="External" Id="rId1232" /><Relationship Type="http://schemas.openxmlformats.org/officeDocument/2006/relationships/hyperlink" Target="https://guiarsanrafael.com.ar/empresa/mindo-saez-pintureria-3/" TargetMode="External" Id="rId1233" /><Relationship Type="http://schemas.openxmlformats.org/officeDocument/2006/relationships/hyperlink" Target="https://guiarsanrafael.com.ar/empresa/mindo-saez-pintureria-4/" TargetMode="External" Id="rId1234" /><Relationship Type="http://schemas.openxmlformats.org/officeDocument/2006/relationships/hyperlink" Target="https://guiarsanrafael.com.ar/empresa/mindo-saez-pintureria/" TargetMode="External" Id="rId1235" /><Relationship Type="http://schemas.openxmlformats.org/officeDocument/2006/relationships/hyperlink" Target="https://guiarsanrafael.com.ar/empresa/mindo-saez-pintureria-2/" TargetMode="External" Id="rId1236" /><Relationship Type="http://schemas.openxmlformats.org/officeDocument/2006/relationships/hyperlink" Target="https://guiarsanrafael.com.ar/empresa/mini-look/" TargetMode="External" Id="rId1237" /><Relationship Type="http://schemas.openxmlformats.org/officeDocument/2006/relationships/hyperlink" Target="https://guiarsanrafael.com.ar/empresa/miranda-telma-evelin/" TargetMode="External" Id="rId1238" /><Relationship Type="http://schemas.openxmlformats.org/officeDocument/2006/relationships/hyperlink" Target="https://guiarsanrafael.com.ar/empresa/mirna-ruiz/" TargetMode="External" Id="rId1239" /><Relationship Type="http://schemas.openxmlformats.org/officeDocument/2006/relationships/hyperlink" Target="https://guiarsanrafael.com.ar/empresa/miron-gabriela-sofia/" TargetMode="External" Id="rId1240" /><Relationship Type="http://schemas.openxmlformats.org/officeDocument/2006/relationships/hyperlink" Target="https://guiarsanrafael.com.ar/empresa/ml-accesorios/" TargetMode="External" Id="rId1241" /><Relationship Type="http://schemas.openxmlformats.org/officeDocument/2006/relationships/hyperlink" Target="https://guiarsanrafael.com.ar/empresa/mym-suplementos-e-indumentaria/" TargetMode="External" Id="rId1242" /><Relationship Type="http://schemas.openxmlformats.org/officeDocument/2006/relationships/hyperlink" Target="https://guiarsanrafael.com.ar/empresa/mmy-seguridad-industrial-de-mauricio-miguel-yague/" TargetMode="External" Id="rId1243" /><Relationship Type="http://schemas.openxmlformats.org/officeDocument/2006/relationships/hyperlink" Target="https://guiarsanrafael.com.ar/empresa/modo-limpio-articulos-de-limpieza/" TargetMode="External" Id="rId1244" /><Relationship Type="http://schemas.openxmlformats.org/officeDocument/2006/relationships/hyperlink" Target="https://guiarsanrafael.com.ar/empresa/modo-mono-rental-bike/" TargetMode="External" Id="rId1245" /><Relationship Type="http://schemas.openxmlformats.org/officeDocument/2006/relationships/hyperlink" Target="https://guiarsanrafael.com.ar/empresa/modulos-san-rafael/" TargetMode="External" Id="rId1246" /><Relationship Type="http://schemas.openxmlformats.org/officeDocument/2006/relationships/hyperlink" Target="https://guiarsanrafael.com.ar/empresa/moes-casa-de-comidas/" TargetMode="External" Id="rId1247" /><Relationship Type="http://schemas.openxmlformats.org/officeDocument/2006/relationships/hyperlink" Target="https://guiarsanrafael.com.ar/empresa/momentos-magicos-disfraces/" TargetMode="External" Id="rId1248" /><Relationship Type="http://schemas.openxmlformats.org/officeDocument/2006/relationships/hyperlink" Target="https://guiarsanrafael.com.ar/empresa/momentos-magicos-salon-de-eventos/" TargetMode="External" Id="rId1249" /><Relationship Type="http://schemas.openxmlformats.org/officeDocument/2006/relationships/hyperlink" Target="https://guiarsanrafael.com.ar/empresa/mon-ciel-panaderia-cafe/" TargetMode="External" Id="rId1250" /><Relationship Type="http://schemas.openxmlformats.org/officeDocument/2006/relationships/hyperlink" Target="https://guiarsanrafael.com.ar/empresa/monica-r-gijon/" TargetMode="External" Id="rId1251" /><Relationship Type="http://schemas.openxmlformats.org/officeDocument/2006/relationships/hyperlink" Target="https://guiarsanrafael.com.ar/empresa/monica-torregrosa/" TargetMode="External" Id="rId1252" /><Relationship Type="http://schemas.openxmlformats.org/officeDocument/2006/relationships/hyperlink" Target="https://guiarsanrafael.com.ar/empresa/montenegro-lia-mariana/" TargetMode="External" Id="rId1253" /><Relationship Type="http://schemas.openxmlformats.org/officeDocument/2006/relationships/hyperlink" Target="https://guiarsanrafael.com.ar/empresa/monzalvo-y-asociados-grupo-consultor/" TargetMode="External" Id="rId1254" /><Relationship Type="http://schemas.openxmlformats.org/officeDocument/2006/relationships/hyperlink" Target="https://guiarsanrafael.com.ar/empresa/mora-mariano-mauro/" TargetMode="External" Id="rId1255" /><Relationship Type="http://schemas.openxmlformats.org/officeDocument/2006/relationships/hyperlink" Target="https://guiarsanrafael.com.ar/empresa/mora-perfumeria/" TargetMode="External" Id="rId1256" /><Relationship Type="http://schemas.openxmlformats.org/officeDocument/2006/relationships/hyperlink" Target="https://guiarsanrafael.com.ar/empresa/morbidelli-amoblamientos-marmoleria/" TargetMode="External" Id="rId1257" /><Relationship Type="http://schemas.openxmlformats.org/officeDocument/2006/relationships/hyperlink" Target="https://guiarsanrafael.com.ar/empresa/morbidelli-gustavo-jesus/" TargetMode="External" Id="rId1258" /><Relationship Type="http://schemas.openxmlformats.org/officeDocument/2006/relationships/hyperlink" Target="https://guiarsanrafael.com.ar/empresa/morbidelli-marcelo-alejandro/" TargetMode="External" Id="rId1259" /><Relationship Type="http://schemas.openxmlformats.org/officeDocument/2006/relationships/hyperlink" Target="https://guiarsanrafael.com.ar/empresa/moreno-matias-javier/" TargetMode="External" Id="rId1260" /><Relationship Type="http://schemas.openxmlformats.org/officeDocument/2006/relationships/hyperlink" Target="https://guiarsanrafael.com.ar/empresa/moreno-panaderia-confiteria/" TargetMode="External" Id="rId1261" /><Relationship Type="http://schemas.openxmlformats.org/officeDocument/2006/relationships/hyperlink" Target="https://guiarsanrafael.com.ar/empresa/moreno-paula-g/" TargetMode="External" Id="rId1262" /><Relationship Type="http://schemas.openxmlformats.org/officeDocument/2006/relationships/hyperlink" Target="https://guiarsanrafael.com.ar/empresa/mostafa-alejandra/" TargetMode="External" Id="rId1263" /><Relationship Type="http://schemas.openxmlformats.org/officeDocument/2006/relationships/hyperlink" Target="https://guiarsanrafael.com.ar/empresa/moto-amigo-san-rafael/" TargetMode="External" Id="rId1264" /><Relationship Type="http://schemas.openxmlformats.org/officeDocument/2006/relationships/hyperlink" Target="https://guiarsanrafael.com.ar/empresa/moto-racing/" TargetMode="External" Id="rId1265" /><Relationship Type="http://schemas.openxmlformats.org/officeDocument/2006/relationships/hyperlink" Target="https://guiarsanrafael.com.ar/empresa/8453/" TargetMode="External" Id="rId1266" /><Relationship Type="http://schemas.openxmlformats.org/officeDocument/2006/relationships/hyperlink" Target="https://guiarsanrafael.com.ar/empresa/motopartes-rr/" TargetMode="External" Id="rId1267" /><Relationship Type="http://schemas.openxmlformats.org/officeDocument/2006/relationships/hyperlink" Target="https://guiarsanrafael.com.ar/empresa/motos-cornachione/" TargetMode="External" Id="rId1268" /><Relationship Type="http://schemas.openxmlformats.org/officeDocument/2006/relationships/hyperlink" Target="https://guiarsanrafael.com.ar/empresa/mototour-rental-alquiler-de-motos/" TargetMode="External" Id="rId1269" /><Relationship Type="http://schemas.openxmlformats.org/officeDocument/2006/relationships/hyperlink" Target="https://guiarsanrafael.com.ar/empresa/mr-clean/" TargetMode="External" Id="rId1270" /><Relationship Type="http://schemas.openxmlformats.org/officeDocument/2006/relationships/hyperlink" Target="https://guiarsanrafael.com.ar/empresa/mtci/" TargetMode="External" Id="rId1271" /><Relationship Type="http://schemas.openxmlformats.org/officeDocument/2006/relationships/hyperlink" Target="https://guiarsanrafael.com.ar/empresa/mtm-agencia-oficial/" TargetMode="External" Id="rId1272" /><Relationship Type="http://schemas.openxmlformats.org/officeDocument/2006/relationships/hyperlink" Target="https://guiarsanrafael.com.ar/empresa/mtm-ferreteria-industrial/" TargetMode="External" Id="rId1273" /><Relationship Type="http://schemas.openxmlformats.org/officeDocument/2006/relationships/hyperlink" Target="https://guiarsanrafael.com.ar/empresa/mtm-ferreteria-industrial-2/" TargetMode="External" Id="rId1274" /><Relationship Type="http://schemas.openxmlformats.org/officeDocument/2006/relationships/hyperlink" Target="https://guiarsanrafael.com.ar/empresa/muebleria-bahia/" TargetMode="External" Id="rId1275" /><Relationship Type="http://schemas.openxmlformats.org/officeDocument/2006/relationships/hyperlink" Target="https://guiarsanrafael.com.ar/empresa/muebles-rolando/" TargetMode="External" Id="rId1276" /><Relationship Type="http://schemas.openxmlformats.org/officeDocument/2006/relationships/hyperlink" Target="https://guiarsanrafael.com.ar/empresa/multitecno-informatica/" TargetMode="External" Id="rId1277" /><Relationship Type="http://schemas.openxmlformats.org/officeDocument/2006/relationships/hyperlink" Target="https://guiarsanrafael.com.ar/empresa/mundo-bigotes-alimentos-balanceados/" TargetMode="External" Id="rId1278" /><Relationship Type="http://schemas.openxmlformats.org/officeDocument/2006/relationships/hyperlink" Target="https://guiarsanrafael.com.ar/empresa/murua-marcela-analia/" TargetMode="External" Id="rId1279" /><Relationship Type="http://schemas.openxmlformats.org/officeDocument/2006/relationships/hyperlink" Target="https://guiarsanrafael.com.ar/empresa/munoz-mirta-silvina/" TargetMode="External" Id="rId1280" /><Relationship Type="http://schemas.openxmlformats.org/officeDocument/2006/relationships/hyperlink" Target="https://guiarsanrafael.com.ar/empresa/mx-motos/" TargetMode="External" Id="rId1281" /><Relationship Type="http://schemas.openxmlformats.org/officeDocument/2006/relationships/hyperlink" Target="https://guiarsanrafael.com.ar/empresa/mym-lubricentro/" TargetMode="External" Id="rId1282" /><Relationship Type="http://schemas.openxmlformats.org/officeDocument/2006/relationships/hyperlink" Target="https://guiarsanrafael.com.ar/empresa/modica-motos/" TargetMode="External" Id="rId1283" /><Relationship Type="http://schemas.openxmlformats.org/officeDocument/2006/relationships/hyperlink" Target="https://guiarsanrafael.com.ar/empresa/namibia-animal-hose/" TargetMode="External" Id="rId1284" /><Relationship Type="http://schemas.openxmlformats.org/officeDocument/2006/relationships/hyperlink" Target="https://guiarsanrafael.com.ar/empresa/nano-carniceria/" TargetMode="External" Id="rId1285" /><Relationship Type="http://schemas.openxmlformats.org/officeDocument/2006/relationships/hyperlink" Target="https://guiarsanrafael.com.ar/empresa/7285/" TargetMode="External" Id="rId1286" /><Relationship Type="http://schemas.openxmlformats.org/officeDocument/2006/relationships/hyperlink" Target="https://guiarsanrafael.com.ar/empresa/natalia-freire/" TargetMode="External" Id="rId1287" /><Relationship Type="http://schemas.openxmlformats.org/officeDocument/2006/relationships/hyperlink" Target="https://guiarsanrafael.com.ar/empresa/natalia-guerrero/" TargetMode="External" Id="rId1288" /><Relationship Type="http://schemas.openxmlformats.org/officeDocument/2006/relationships/hyperlink" Target="https://guiarsanrafael.com.ar/empresa/natalia-montoya/" TargetMode="External" Id="rId1289" /><Relationship Type="http://schemas.openxmlformats.org/officeDocument/2006/relationships/hyperlink" Target="https://guiarsanrafael.com.ar/empresa/10315/" TargetMode="External" Id="rId1290" /><Relationship Type="http://schemas.openxmlformats.org/officeDocument/2006/relationships/hyperlink" Target="https://guiarsanrafael.com.ar/empresa/natalia-zingaretti/" TargetMode="External" Id="rId1291" /><Relationship Type="http://schemas.openxmlformats.org/officeDocument/2006/relationships/hyperlink" Target="https://guiarsanrafael.com.ar/empresa/natura-art-dietetica/" TargetMode="External" Id="rId1292" /><Relationship Type="http://schemas.openxmlformats.org/officeDocument/2006/relationships/hyperlink" Target="https://guiarsanrafael.com.ar/empresa/natural-fruit/" TargetMode="External" Id="rId1293" /><Relationship Type="http://schemas.openxmlformats.org/officeDocument/2006/relationships/hyperlink" Target="https://guiarsanrafael.com.ar/empresa/natural-fruit-tienda-saludable/" TargetMode="External" Id="rId1294" /><Relationship Type="http://schemas.openxmlformats.org/officeDocument/2006/relationships/hyperlink" Target="https://guiarsanrafael.com.ar/empresa/navattini-insumos-para-manicuria/" TargetMode="External" Id="rId1295" /><Relationship Type="http://schemas.openxmlformats.org/officeDocument/2006/relationships/hyperlink" Target="https://guiarsanrafael.com.ar/empresa/nc-materiales/" TargetMode="External" Id="rId1296" /><Relationship Type="http://schemas.openxmlformats.org/officeDocument/2006/relationships/hyperlink" Target="https://guiarsanrafael.com.ar/empresa/nelly-bonoso/" TargetMode="External" Id="rId1297" /><Relationship Type="http://schemas.openxmlformats.org/officeDocument/2006/relationships/hyperlink" Target="https://guiarsanrafael.com.ar/empresa/net-access-computacion/" TargetMode="External" Id="rId1298" /><Relationship Type="http://schemas.openxmlformats.org/officeDocument/2006/relationships/hyperlink" Target="https://guiarsanrafael.com.ar/empresa/neumaticos-camietti/" TargetMode="External" Id="rId1299" /><Relationship Type="http://schemas.openxmlformats.org/officeDocument/2006/relationships/hyperlink" Target="https://guiarsanrafael.com.ar/empresa/neumaticos-moreno/" TargetMode="External" Id="rId1300" /><Relationship Type="http://schemas.openxmlformats.org/officeDocument/2006/relationships/hyperlink" Target="https://guiarsanrafael.com.ar/empresa/neumaticos-san-jose/" TargetMode="External" Id="rId1301" /><Relationship Type="http://schemas.openxmlformats.org/officeDocument/2006/relationships/hyperlink" Target="https://guiarsanrafael.com.ar/empresa/neutra-neurologia-y-traumatologia/" TargetMode="External" Id="rId1302" /><Relationship Type="http://schemas.openxmlformats.org/officeDocument/2006/relationships/hyperlink" Target="https://guiarsanrafael.com.ar/empresa/new-store-servicio-tecnico/" TargetMode="External" Id="rId1303" /><Relationship Type="http://schemas.openxmlformats.org/officeDocument/2006/relationships/hyperlink" Target="https://guiarsanrafael.com.ar/empresa/newen-construcciones/" TargetMode="External" Id="rId1304" /><Relationship Type="http://schemas.openxmlformats.org/officeDocument/2006/relationships/hyperlink" Target="https://guiarsanrafael.com.ar/empresa/nicol-molina/" TargetMode="External" Id="rId1305" /><Relationship Type="http://schemas.openxmlformats.org/officeDocument/2006/relationships/hyperlink" Target="https://guiarsanrafael.com.ar/empresa/nicolas-rolan/" TargetMode="External" Id="rId1306" /><Relationship Type="http://schemas.openxmlformats.org/officeDocument/2006/relationships/hyperlink" Target="https://guiarsanrafael.com.ar/empresa/nicolas-moya/" TargetMode="External" Id="rId1307" /><Relationship Type="http://schemas.openxmlformats.org/officeDocument/2006/relationships/hyperlink" Target="https://guiarsanrafael.com.ar/empresa/nicolas-scarponi/" TargetMode="External" Id="rId1308" /><Relationship Type="http://schemas.openxmlformats.org/officeDocument/2006/relationships/hyperlink" Target="https://guiarsanrafael.com.ar/empresa/nicolo-pastas-y-salsas/" TargetMode="External" Id="rId1309" /><Relationship Type="http://schemas.openxmlformats.org/officeDocument/2006/relationships/hyperlink" Target="https://guiarsanrafael.com.ar/empresa/nihuil-construcciones-s-a/" TargetMode="External" Id="rId1310" /><Relationship Type="http://schemas.openxmlformats.org/officeDocument/2006/relationships/hyperlink" Target="https://guiarsanrafael.com.ar/empresa/nobel-2-bazar/" TargetMode="External" Id="rId1311" /><Relationship Type="http://schemas.openxmlformats.org/officeDocument/2006/relationships/hyperlink" Target="https://guiarsanrafael.com.ar/empresa/nobel-mayorista/" TargetMode="External" Id="rId1312" /><Relationship Type="http://schemas.openxmlformats.org/officeDocument/2006/relationships/hyperlink" Target="https://guiarsanrafael.com.ar/empresa/noelia-barrenechea/" TargetMode="External" Id="rId1313" /><Relationship Type="http://schemas.openxmlformats.org/officeDocument/2006/relationships/hyperlink" Target="https://guiarsanrafael.com.ar/empresa/noelia-l-casado/" TargetMode="External" Id="rId1314" /><Relationship Type="http://schemas.openxmlformats.org/officeDocument/2006/relationships/hyperlink" Target="https://guiarsanrafael.com.ar/empresa/noelia-senarega/" TargetMode="External" Id="rId1315" /><Relationship Type="http://schemas.openxmlformats.org/officeDocument/2006/relationships/hyperlink" Target="https://guiarsanrafael.com.ar/empresa/norberto-molzalvo/" TargetMode="External" Id="rId1316" /><Relationship Type="http://schemas.openxmlformats.org/officeDocument/2006/relationships/hyperlink" Target="https://guiarsanrafael.com.ar/empresa/nort-revestimientos-san-rafael/" TargetMode="External" Id="rId1317" /><Relationship Type="http://schemas.openxmlformats.org/officeDocument/2006/relationships/hyperlink" Target="https://guiarsanrafael.com.ar/empresa/nova-diseno-y-publicidad/" TargetMode="External" Id="rId1318" /><Relationship Type="http://schemas.openxmlformats.org/officeDocument/2006/relationships/hyperlink" Target="https://guiarsanrafael.com.ar/empresa/nueva-casa-artigas/" TargetMode="External" Id="rId1319" /><Relationship Type="http://schemas.openxmlformats.org/officeDocument/2006/relationships/hyperlink" Target="https://guiarsanrafael.com.ar/empresa/nuevo-mundo/" TargetMode="External" Id="rId1320" /><Relationship Type="http://schemas.openxmlformats.org/officeDocument/2006/relationships/hyperlink" Target="https://guiarsanrafael.com.ar/empresa/nutri-sabor/" TargetMode="External" Id="rId1321" /><Relationship Type="http://schemas.openxmlformats.org/officeDocument/2006/relationships/hyperlink" Target="https://guiarsanrafael.com.ar/empresa/nutri-tienda/" TargetMode="External" Id="rId1322" /><Relationship Type="http://schemas.openxmlformats.org/officeDocument/2006/relationships/hyperlink" Target="https://guiarsanrafael.com.ar/empresa/nutrimento-casa-de-mascotas/" TargetMode="External" Id="rId1323" /><Relationship Type="http://schemas.openxmlformats.org/officeDocument/2006/relationships/hyperlink" Target="https://guiarsanrafael.com.ar/empresa/ochoa-marisa-e/" TargetMode="External" Id="rId1324" /><Relationship Type="http://schemas.openxmlformats.org/officeDocument/2006/relationships/hyperlink" Target="https://guiarsanrafael.com.ar/empresa/odonto-cuyo-insumos-odontologicos/" TargetMode="External" Id="rId1325" /><Relationship Type="http://schemas.openxmlformats.org/officeDocument/2006/relationships/hyperlink" Target="https://guiarsanrafael.com.ar/empresa/oeste-motos/" TargetMode="External" Id="rId1326" /><Relationship Type="http://schemas.openxmlformats.org/officeDocument/2006/relationships/hyperlink" Target="https://guiarsanrafael.com.ar/empresa/ogacristian-yoel/" TargetMode="External" Id="rId1327" /><Relationship Type="http://schemas.openxmlformats.org/officeDocument/2006/relationships/hyperlink" Target="https://guiarsanrafael.com.ar/empresa/ojeda-bernabe-maria-luz/" TargetMode="External" Id="rId1328" /><Relationship Type="http://schemas.openxmlformats.org/officeDocument/2006/relationships/hyperlink" Target="https://guiarsanrafael.com.ar/empresa/olivos-y-retamos/" TargetMode="External" Id="rId1329" /><Relationship Type="http://schemas.openxmlformats.org/officeDocument/2006/relationships/hyperlink" Target="https://guiarsanrafael.com.ar/empresa/olmedo-diana-laura/" TargetMode="External" Id="rId1330" /><Relationship Type="http://schemas.openxmlformats.org/officeDocument/2006/relationships/hyperlink" Target="https://guiarsanrafael.com.ar/empresa/om-instituto-medico-oncologico/" TargetMode="External" Id="rId1331" /><Relationship Type="http://schemas.openxmlformats.org/officeDocument/2006/relationships/hyperlink" Target="https://guiarsanrafael.com.ar/empresa/omar-allolio-servicio-mecanico/" TargetMode="External" Id="rId1332" /><Relationship Type="http://schemas.openxmlformats.org/officeDocument/2006/relationships/hyperlink" Target="https://guiarsanrafael.com.ar/empresa/omar-zapata/" TargetMode="External" Id="rId1333" /><Relationship Type="http://schemas.openxmlformats.org/officeDocument/2006/relationships/hyperlink" Target="https://guiarsanrafael.com.ar/empresa/omega-saneamientos/" TargetMode="External" Id="rId1334" /><Relationship Type="http://schemas.openxmlformats.org/officeDocument/2006/relationships/hyperlink" Target="https://guiarsanrafael.com.ar/empresa/ontivero-analia/" TargetMode="External" Id="rId1335" /><Relationship Type="http://schemas.openxmlformats.org/officeDocument/2006/relationships/hyperlink" Target="https://guiarsanrafael.com.ar/empresa/opalo-tienda-holistica/" TargetMode="External" Id="rId1336" /><Relationship Type="http://schemas.openxmlformats.org/officeDocument/2006/relationships/hyperlink" Target="https://guiarsanrafael.com.ar/empresa/oporto-almacen-de-comidas/" TargetMode="External" Id="rId1337" /><Relationship Type="http://schemas.openxmlformats.org/officeDocument/2006/relationships/hyperlink" Target="https://guiarsanrafael.com.ar/empresa/organizacion-cerbetto/" TargetMode="External" Id="rId1338" /><Relationship Type="http://schemas.openxmlformats.org/officeDocument/2006/relationships/hyperlink" Target="https://guiarsanrafael.com.ar/empresa/organizacion-demuru/" TargetMode="External" Id="rId1339" /><Relationship Type="http://schemas.openxmlformats.org/officeDocument/2006/relationships/hyperlink" Target="https://guiarsanrafael.com.ar/empresa/organizacion-fernandez/" TargetMode="External" Id="rId1340" /><Relationship Type="http://schemas.openxmlformats.org/officeDocument/2006/relationships/hyperlink" Target="https://guiarsanrafael.com.ar/empresa/oriente-ortopedia/" TargetMode="External" Id="rId1341" /><Relationship Type="http://schemas.openxmlformats.org/officeDocument/2006/relationships/hyperlink" Target="https://guiarsanrafael.com.ar/empresa/origen-almacen-de-fiambres/" TargetMode="External" Id="rId1342" /><Relationship Type="http://schemas.openxmlformats.org/officeDocument/2006/relationships/hyperlink" Target="https://guiarsanrafael.com.ar/empresa/origen-natural/" TargetMode="External" Id="rId1343" /><Relationship Type="http://schemas.openxmlformats.org/officeDocument/2006/relationships/hyperlink" Target="https://guiarsanrafael.com.ar/empresa/orlando-alberto-franks/" TargetMode="External" Id="rId1344" /><Relationship Type="http://schemas.openxmlformats.org/officeDocument/2006/relationships/hyperlink" Target="https://guiarsanrafael.com.ar/empresa/ornella-morganti/" TargetMode="External" Id="rId1345" /><Relationship Type="http://schemas.openxmlformats.org/officeDocument/2006/relationships/hyperlink" Target="https://guiarsanrafael.com.ar/empresa/orozco-amicarelli-francisco/" TargetMode="External" Id="rId1346" /><Relationship Type="http://schemas.openxmlformats.org/officeDocument/2006/relationships/hyperlink" Target="https://guiarsanrafael.com.ar/empresa/orozco-cecilia-andrea/" TargetMode="External" Id="rId1347" /><Relationship Type="http://schemas.openxmlformats.org/officeDocument/2006/relationships/hyperlink" Target="https://guiarsanrafael.com.ar/empresa/ortiz-prieto-andrea-bernabella/" TargetMode="External" Id="rId1348" /><Relationship Type="http://schemas.openxmlformats.org/officeDocument/2006/relationships/hyperlink" Target="https://guiarsanrafael.com.ar/empresa/ortopedia-cesak/" TargetMode="External" Id="rId1349" /><Relationship Type="http://schemas.openxmlformats.org/officeDocument/2006/relationships/hyperlink" Target="https://guiarsanrafael.com.ar/empresa/ortopedia-prosar/" TargetMode="External" Id="rId1350" /><Relationship Type="http://schemas.openxmlformats.org/officeDocument/2006/relationships/hyperlink" Target="https://guiarsanrafael.com.ar/empresa/ortopedia-tavanti/" TargetMode="External" Id="rId1351" /><Relationship Type="http://schemas.openxmlformats.org/officeDocument/2006/relationships/hyperlink" Target="https://guiarsanrafael.com.ar/empresa/orujo/" TargetMode="External" Id="rId1352" /><Relationship Type="http://schemas.openxmlformats.org/officeDocument/2006/relationships/hyperlink" Target="https://guiarsanrafael.com.ar/empresa/pablo-carayol/" TargetMode="External" Id="rId1353" /><Relationship Type="http://schemas.openxmlformats.org/officeDocument/2006/relationships/hyperlink" Target="https://guiarsanrafael.com.ar/empresa/pablo-citon/" TargetMode="External" Id="rId1354" /><Relationship Type="http://schemas.openxmlformats.org/officeDocument/2006/relationships/hyperlink" Target="https://guiarsanrafael.com.ar/empresa/pablo-ferandez/" TargetMode="External" Id="rId1355" /><Relationship Type="http://schemas.openxmlformats.org/officeDocument/2006/relationships/hyperlink" Target="https://guiarsanrafael.com.ar/empresa/pablo-gomez/" TargetMode="External" Id="rId1356" /><Relationship Type="http://schemas.openxmlformats.org/officeDocument/2006/relationships/hyperlink" Target="https://guiarsanrafael.com.ar/empresa/pablo-hernandez/" TargetMode="External" Id="rId1357" /><Relationship Type="http://schemas.openxmlformats.org/officeDocument/2006/relationships/hyperlink" Target="https://guiarsanrafael.com.ar/empresa/pablo-mahia/" TargetMode="External" Id="rId1358" /><Relationship Type="http://schemas.openxmlformats.org/officeDocument/2006/relationships/hyperlink" Target="https://guiarsanrafael.com.ar/empresa/pablo-martos/" TargetMode="External" Id="rId1359" /><Relationship Type="http://schemas.openxmlformats.org/officeDocument/2006/relationships/hyperlink" Target="https://guiarsanrafael.com.ar/empresa/pablo-sosa/" TargetMode="External" Id="rId1360" /><Relationship Type="http://schemas.openxmlformats.org/officeDocument/2006/relationships/hyperlink" Target="https://guiarsanrafael.com.ar/empresa/pachamama-almacen-natural/" TargetMode="External" Id="rId1361" /><Relationship Type="http://schemas.openxmlformats.org/officeDocument/2006/relationships/hyperlink" Target="https://guiarsanrafael.com.ar/empresa/pacha-mama-roca/" TargetMode="External" Id="rId1362" /><Relationship Type="http://schemas.openxmlformats.org/officeDocument/2006/relationships/hyperlink" Target="https://guiarsanrafael.com.ar/empresa/pachu-auxilio-mecanico/" TargetMode="External" Id="rId1363" /><Relationship Type="http://schemas.openxmlformats.org/officeDocument/2006/relationships/hyperlink" Target="https://guiarsanrafael.com.ar/empresa/padilla-palleres-florencia-antonella/" TargetMode="External" Id="rId1364" /><Relationship Type="http://schemas.openxmlformats.org/officeDocument/2006/relationships/hyperlink" Target="https://guiarsanrafael.com.ar/empresa/paiva-grerman/" TargetMode="External" Id="rId1365" /><Relationship Type="http://schemas.openxmlformats.org/officeDocument/2006/relationships/hyperlink" Target="https://guiarsanrafael.com.ar/empresa/pamela-romina-fernadez/" TargetMode="External" Id="rId1366" /><Relationship Type="http://schemas.openxmlformats.org/officeDocument/2006/relationships/hyperlink" Target="https://guiarsanrafael.com.ar/empresa/pamela-salinas/" TargetMode="External" Id="rId1367" /><Relationship Type="http://schemas.openxmlformats.org/officeDocument/2006/relationships/hyperlink" Target="https://guiarsanrafael.com.ar/empresa/pampero-san-rafael/" TargetMode="External" Id="rId1368" /><Relationship Type="http://schemas.openxmlformats.org/officeDocument/2006/relationships/hyperlink" Target="https://guiarsanrafael.com.ar/empresa/pan-y-manteca/" TargetMode="External" Id="rId1369" /><Relationship Type="http://schemas.openxmlformats.org/officeDocument/2006/relationships/hyperlink" Target="https://guiarsanrafael.com.ar/empresa/panaderia-la-ideal/" TargetMode="External" Id="rId1370" /><Relationship Type="http://schemas.openxmlformats.org/officeDocument/2006/relationships/hyperlink" Target="https://guiarsanrafael.com.ar/empresa/panaderia-crikas/" TargetMode="External" Id="rId1371" /><Relationship Type="http://schemas.openxmlformats.org/officeDocument/2006/relationships/hyperlink" Target="https://guiarsanrafael.com.ar/empresa/panaderia-el-fortin/" TargetMode="External" Id="rId1372" /><Relationship Type="http://schemas.openxmlformats.org/officeDocument/2006/relationships/hyperlink" Target="https://guiarsanrafael.com.ar/empresa/panaderia-el-nihuil/" TargetMode="External" Id="rId1373" /><Relationship Type="http://schemas.openxmlformats.org/officeDocument/2006/relationships/hyperlink" Target="https://guiarsanrafael.com.ar/empresa/panaderia-jireh/" TargetMode="External" Id="rId1374" /><Relationship Type="http://schemas.openxmlformats.org/officeDocument/2006/relationships/hyperlink" Target="https://guiarsanrafael.com.ar/empresa/panaderia-la-union/" TargetMode="External" Id="rId1375" /><Relationship Type="http://schemas.openxmlformats.org/officeDocument/2006/relationships/hyperlink" Target="https://guiarsanrafael.com.ar/empresa/panaderia-mana/" TargetMode="External" Id="rId1376" /><Relationship Type="http://schemas.openxmlformats.org/officeDocument/2006/relationships/hyperlink" Target="https://guiarsanrafael.com.ar/empresa/panebianco-javier/" TargetMode="External" Id="rId1377" /><Relationship Type="http://schemas.openxmlformats.org/officeDocument/2006/relationships/hyperlink" Target="https://guiarsanrafael.com.ar/empresa/panificadora-el-granadino-260-482-0480/" TargetMode="External" Id="rId1378" /><Relationship Type="http://schemas.openxmlformats.org/officeDocument/2006/relationships/hyperlink" Target="https://guiarsanrafael.com.ar/empresa/paola-calle/" TargetMode="External" Id="rId1379" /><Relationship Type="http://schemas.openxmlformats.org/officeDocument/2006/relationships/hyperlink" Target="https://guiarsanrafael.com.ar/empresa/paola-valentina-valdivieso/" TargetMode="External" Id="rId1380" /><Relationship Type="http://schemas.openxmlformats.org/officeDocument/2006/relationships/hyperlink" Target="https://guiarsanrafael.com.ar/empresa/parabrisas-multichapa/" TargetMode="External" Id="rId1381" /><Relationship Type="http://schemas.openxmlformats.org/officeDocument/2006/relationships/hyperlink" Target="https://guiarsanrafael.com.ar/empresa/pardi-manuel/" TargetMode="External" Id="rId1382" /><Relationship Type="http://schemas.openxmlformats.org/officeDocument/2006/relationships/hyperlink" Target="https://guiarsanrafael.com.ar/empresa/paseo-de-los-lagos/" TargetMode="External" Id="rId1383" /><Relationship Type="http://schemas.openxmlformats.org/officeDocument/2006/relationships/hyperlink" Target="https://guiarsanrafael.com.ar/empresa/paseo-del-parque-panaderia/" TargetMode="External" Id="rId1384" /><Relationship Type="http://schemas.openxmlformats.org/officeDocument/2006/relationships/hyperlink" Target="https://guiarsanrafael.com.ar/empresa/paseo-regional-san-rafael/" TargetMode="External" Id="rId1385" /><Relationship Type="http://schemas.openxmlformats.org/officeDocument/2006/relationships/hyperlink" Target="https://guiarsanrafael.com.ar/empresa/pastas-don-nicola/" TargetMode="External" Id="rId1386" /><Relationship Type="http://schemas.openxmlformats.org/officeDocument/2006/relationships/hyperlink" Target="https://guiarsanrafael.com.ar/empresa/pastas-marisol/" TargetMode="External" Id="rId1387" /><Relationship Type="http://schemas.openxmlformats.org/officeDocument/2006/relationships/hyperlink" Target="https://guiarsanrafael.com.ar/empresa/pastas-mendez/" TargetMode="External" Id="rId1388" /><Relationship Type="http://schemas.openxmlformats.org/officeDocument/2006/relationships/hyperlink" Target="https://guiarsanrafael.com.ar/empresa/pastella-pasteleria-cafeteria/" TargetMode="External" Id="rId1389" /><Relationship Type="http://schemas.openxmlformats.org/officeDocument/2006/relationships/hyperlink" Target="https://guiarsanrafael.com.ar/empresa/patios-del-mediterraneo/" TargetMode="External" Id="rId1390" /><Relationship Type="http://schemas.openxmlformats.org/officeDocument/2006/relationships/hyperlink" Target="https://guiarsanrafael.com.ar/empresa/patios-del-mediterraneo-2/" TargetMode="External" Id="rId1391" /><Relationship Type="http://schemas.openxmlformats.org/officeDocument/2006/relationships/hyperlink" Target="https://guiarsanrafael.com.ar/empresa/patricia-humar/" TargetMode="External" Id="rId1392" /><Relationship Type="http://schemas.openxmlformats.org/officeDocument/2006/relationships/hyperlink" Target="https://guiarsanrafael.com.ar/empresa/patti-ana-carolina/" TargetMode="External" Id="rId1393" /><Relationship Type="http://schemas.openxmlformats.org/officeDocument/2006/relationships/hyperlink" Target="https://guiarsanrafael.com.ar/empresa/paula-alias/" TargetMode="External" Id="rId1394" /><Relationship Type="http://schemas.openxmlformats.org/officeDocument/2006/relationships/hyperlink" Target="https://guiarsanrafael.com.ar/empresa/paula-medina/" TargetMode="External" Id="rId1395" /><Relationship Type="http://schemas.openxmlformats.org/officeDocument/2006/relationships/hyperlink" Target="https://guiarsanrafael.com.ar/empresa/paula-sesma/" TargetMode="External" Id="rId1396" /><Relationship Type="http://schemas.openxmlformats.org/officeDocument/2006/relationships/hyperlink" Target="https://guiarsanrafael.com.ar/empresa/paula-villar/" TargetMode="External" Id="rId1397" /><Relationship Type="http://schemas.openxmlformats.org/officeDocument/2006/relationships/hyperlink" Target="https://guiarsanrafael.com.ar/empresa/paula-yebra/" TargetMode="External" Id="rId1398" /><Relationship Type="http://schemas.openxmlformats.org/officeDocument/2006/relationships/hyperlink" Target="https://guiarsanrafael.com.ar/empresa/paulo-arian-flores/" TargetMode="External" Id="rId1399" /><Relationship Type="http://schemas.openxmlformats.org/officeDocument/2006/relationships/hyperlink" Target="https://guiarsanrafael.com.ar/empresa/panalera-jazmin/" TargetMode="External" Id="rId1400" /><Relationship Type="http://schemas.openxmlformats.org/officeDocument/2006/relationships/hyperlink" Target="https://guiarsanrafael.com.ar/empresa/panalera-pompis/" TargetMode="External" Id="rId1401" /><Relationship Type="http://schemas.openxmlformats.org/officeDocument/2006/relationships/hyperlink" Target="https://guiarsanrafael.com.ar/empresa/peluditos-pets-shop/" TargetMode="External" Id="rId1402" /><Relationship Type="http://schemas.openxmlformats.org/officeDocument/2006/relationships/hyperlink" Target="https://guiarsanrafael.com.ar/empresa/peluquerias-almafuerte/" TargetMode="External" Id="rId1403" /><Relationship Type="http://schemas.openxmlformats.org/officeDocument/2006/relationships/hyperlink" Target="https://guiarsanrafael.com.ar/empresa/peregrin-betiana-alicia/" TargetMode="External" Id="rId1404" /><Relationship Type="http://schemas.openxmlformats.org/officeDocument/2006/relationships/hyperlink" Target="https://guiarsanrafael.com.ar/empresa/pereto-miguel-angel/" TargetMode="External" Id="rId1405" /><Relationship Type="http://schemas.openxmlformats.org/officeDocument/2006/relationships/hyperlink" Target="https://guiarsanrafael.com.ar/empresa/perez-adriana-vanesa/" TargetMode="External" Id="rId1406" /><Relationship Type="http://schemas.openxmlformats.org/officeDocument/2006/relationships/hyperlink" Target="https://guiarsanrafael.com.ar/empresa/perez-evelin-esther/" TargetMode="External" Id="rId1407" /><Relationship Type="http://schemas.openxmlformats.org/officeDocument/2006/relationships/hyperlink" Target="https://guiarsanrafael.com.ar/empresa/perez-guadalupe-lucia/" TargetMode="External" Id="rId1408" /><Relationship Type="http://schemas.openxmlformats.org/officeDocument/2006/relationships/hyperlink" Target="https://guiarsanrafael.com.ar/empresa/perforaciones-san-rafael/" TargetMode="External" Id="rId1409" /><Relationship Type="http://schemas.openxmlformats.org/officeDocument/2006/relationships/hyperlink" Target="https://guiarsanrafael.com.ar/empresa/perfumeria-wapas/" TargetMode="External" Id="rId1410" /><Relationship Type="http://schemas.openxmlformats.org/officeDocument/2006/relationships/hyperlink" Target="https://guiarsanrafael.com.ar/empresa/perfumeria-capilar/" TargetMode="External" Id="rId1411" /><Relationship Type="http://schemas.openxmlformats.org/officeDocument/2006/relationships/hyperlink" Target="https://guiarsanrafael.com.ar/empresa/perfumeria-irupe/" TargetMode="External" Id="rId1412" /><Relationship Type="http://schemas.openxmlformats.org/officeDocument/2006/relationships/hyperlink" Target="https://guiarsanrafael.com.ar/empresa/pericas-construcciones/" TargetMode="External" Id="rId1413" /><Relationship Type="http://schemas.openxmlformats.org/officeDocument/2006/relationships/hyperlink" Target="https://guiarsanrafael.com.ar/empresa/pescaderia-egea/" TargetMode="External" Id="rId1414" /><Relationship Type="http://schemas.openxmlformats.org/officeDocument/2006/relationships/hyperlink" Target="https://guiarsanrafael.com.ar/empresa/pescaderia-el-gallego/" TargetMode="External" Id="rId1415" /><Relationship Type="http://schemas.openxmlformats.org/officeDocument/2006/relationships/hyperlink" Target="https://guiarsanrafael.com.ar/empresa/pessamo-maria-florencia/" TargetMode="External" Id="rId1416" /><Relationship Type="http://schemas.openxmlformats.org/officeDocument/2006/relationships/hyperlink" Target="https://guiarsanrafael.com.ar/empresa/petit-chiot-snacks-gourmet-para-mascotas/" TargetMode="External" Id="rId1417" /><Relationship Type="http://schemas.openxmlformats.org/officeDocument/2006/relationships/hyperlink" Target="https://guiarsanrafael.com.ar/empresa/pettra-resto/" TargetMode="External" Id="rId1418" /><Relationship Type="http://schemas.openxmlformats.org/officeDocument/2006/relationships/hyperlink" Target="https://guiarsanrafael.com.ar/empresa/penon-del-aguila-cerveceria/" TargetMode="External" Id="rId1419" /><Relationship Type="http://schemas.openxmlformats.org/officeDocument/2006/relationships/hyperlink" Target="https://guiarsanrafael.com.ar/empresa/ph-descartables/" TargetMode="External" Id="rId1420" /><Relationship Type="http://schemas.openxmlformats.org/officeDocument/2006/relationships/hyperlink" Target="https://guiarsanrafael.com.ar/empresa/piastrellini-maria-paula/" TargetMode="External" Id="rId1421" /><Relationship Type="http://schemas.openxmlformats.org/officeDocument/2006/relationships/hyperlink" Target="https://guiarsanrafael.com.ar/empresa/pietrelli-andrea-v/" TargetMode="External" Id="rId1422" /><Relationship Type="http://schemas.openxmlformats.org/officeDocument/2006/relationships/hyperlink" Target="https://guiarsanrafael.com.ar/empresa/pintureria-avenida/" TargetMode="External" Id="rId1423" /><Relationship Type="http://schemas.openxmlformats.org/officeDocument/2006/relationships/hyperlink" Target="https://guiarsanrafael.com.ar/empresa/pintureria-lugane/" TargetMode="External" Id="rId1424" /><Relationship Type="http://schemas.openxmlformats.org/officeDocument/2006/relationships/hyperlink" Target="https://guiarsanrafael.com.ar/empresa/pinturerias-libertador-2/" TargetMode="External" Id="rId1425" /><Relationship Type="http://schemas.openxmlformats.org/officeDocument/2006/relationships/hyperlink" Target="https://guiarsanrafael.com.ar/empresa/pinturerias-san-jose/" TargetMode="External" Id="rId1426" /><Relationship Type="http://schemas.openxmlformats.org/officeDocument/2006/relationships/hyperlink" Target="https://guiarsanrafael.com.ar/empresa/pinturerias-libertador/" TargetMode="External" Id="rId1427" /><Relationship Type="http://schemas.openxmlformats.org/officeDocument/2006/relationships/hyperlink" Target="https://guiarsanrafael.com.ar/empresa/pipi-panchos-sandwicheria/" TargetMode="External" Id="rId1428" /><Relationship Type="http://schemas.openxmlformats.org/officeDocument/2006/relationships/hyperlink" Target="https://guiarsanrafael.com.ar/empresa/piscinas-san-rafael/" TargetMode="External" Id="rId1429" /><Relationship Type="http://schemas.openxmlformats.org/officeDocument/2006/relationships/hyperlink" Target="https://guiarsanrafael.com.ar/empresa/pizarro-erica/" TargetMode="External" Id="rId1430" /><Relationship Type="http://schemas.openxmlformats.org/officeDocument/2006/relationships/hyperlink" Target="https://guiarsanrafael.com.ar/empresa/pizza-marca/" TargetMode="External" Id="rId1431" /><Relationship Type="http://schemas.openxmlformats.org/officeDocument/2006/relationships/hyperlink" Target="https://guiarsanrafael.com.ar/empresa/placke-regalos/" TargetMode="External" Id="rId1432" /><Relationship Type="http://schemas.openxmlformats.org/officeDocument/2006/relationships/hyperlink" Target="https://guiarsanrafael.com.ar/empresa/planeta-mascota/" TargetMode="External" Id="rId1433" /><Relationship Type="http://schemas.openxmlformats.org/officeDocument/2006/relationships/hyperlink" Target="https://guiarsanrafael.com.ar/empresa/plaza-copiados/" TargetMode="External" Id="rId1434" /><Relationship Type="http://schemas.openxmlformats.org/officeDocument/2006/relationships/hyperlink" Target="https://guiarsanrafael.com.ar/empresa/plaza-cucina/" TargetMode="External" Id="rId1435" /><Relationship Type="http://schemas.openxmlformats.org/officeDocument/2006/relationships/hyperlink" Target="https://guiarsanrafael.com.ar/empresa/plaza-instituto-medico/" TargetMode="External" Id="rId1436" /><Relationship Type="http://schemas.openxmlformats.org/officeDocument/2006/relationships/hyperlink" Target="https://guiarsanrafael.com.ar/empresa/plegados-vernini/" TargetMode="External" Id="rId1437" /><Relationship Type="http://schemas.openxmlformats.org/officeDocument/2006/relationships/hyperlink" Target="https://guiarsanrafael.com.ar/empresa/ploteados-escudero/" TargetMode="External" Id="rId1438" /><Relationship Type="http://schemas.openxmlformats.org/officeDocument/2006/relationships/hyperlink" Target="https://guiarsanrafael.com.ar/empresa/plotteart-servicios-graficos/" TargetMode="External" Id="rId1439" /><Relationship Type="http://schemas.openxmlformats.org/officeDocument/2006/relationships/hyperlink" Target="https://guiarsanrafael.com.ar/empresa/plus-oil-lubricantes/" TargetMode="External" Id="rId1440" /><Relationship Type="http://schemas.openxmlformats.org/officeDocument/2006/relationships/hyperlink" Target="https://guiarsanrafael.com.ar/empresa/pogliani-bicycles/" TargetMode="External" Id="rId1441" /><Relationship Type="http://schemas.openxmlformats.org/officeDocument/2006/relationships/hyperlink" Target="https://guiarsanrafael.com.ar/empresa/pollos-g-i/" TargetMode="External" Id="rId1442" /><Relationship Type="http://schemas.openxmlformats.org/officeDocument/2006/relationships/hyperlink" Target="https://guiarsanrafael.com.ar/empresa/pollos-nelvis/" TargetMode="External" Id="rId1443" /><Relationship Type="http://schemas.openxmlformats.org/officeDocument/2006/relationships/hyperlink" Target="https://guiarsanrafael.com.ar/empresa/ponce-carpainter/" TargetMode="External" Id="rId1444" /><Relationship Type="http://schemas.openxmlformats.org/officeDocument/2006/relationships/hyperlink" Target="https://guiarsanrafael.com.ar/empresa/pony-polarizados/" TargetMode="External" Id="rId1445" /><Relationship Type="http://schemas.openxmlformats.org/officeDocument/2006/relationships/hyperlink" Target="https://guiarsanrafael.com.ar/empresa/porte-roxana-elisabeth/" TargetMode="External" Id="rId1446" /><Relationship Type="http://schemas.openxmlformats.org/officeDocument/2006/relationships/hyperlink" Target="https://guiarsanrafael.com.ar/empresa/posada-boutique-la-barrica/" TargetMode="External" Id="rId1447" /><Relationship Type="http://schemas.openxmlformats.org/officeDocument/2006/relationships/hyperlink" Target="https://guiarsanrafael.com.ar/empresa/power-vision-optica-y-contactologia/" TargetMode="External" Id="rId1448" /><Relationship Type="http://schemas.openxmlformats.org/officeDocument/2006/relationships/hyperlink" Target="https://guiarsanrafael.com.ar/empresa/pozo-ariel-eduardo/" TargetMode="External" Id="rId1449" /><Relationship Type="http://schemas.openxmlformats.org/officeDocument/2006/relationships/hyperlink" Target="https://guiarsanrafael.com.ar/empresa/pozo-norali-del-valle/" TargetMode="External" Id="rId1450" /><Relationship Type="http://schemas.openxmlformats.org/officeDocument/2006/relationships/hyperlink" Target="https://guiarsanrafael.com.ar/empresa/prados-liliana-ines/" TargetMode="External" Id="rId1451" /><Relationship Type="http://schemas.openxmlformats.org/officeDocument/2006/relationships/hyperlink" Target="https://guiarsanrafael.com.ar/empresa/prieto-juan-ignacio/" TargetMode="External" Id="rId1452" /><Relationship Type="http://schemas.openxmlformats.org/officeDocument/2006/relationships/hyperlink" Target="https://guiarsanrafael.com.ar/empresa/prieto-maria-julieta/" TargetMode="External" Id="rId1453" /><Relationship Type="http://schemas.openxmlformats.org/officeDocument/2006/relationships/hyperlink" Target="https://guiarsanrafael.com.ar/empresa/print-estudio-grafico/" TargetMode="External" Id="rId1454" /><Relationship Type="http://schemas.openxmlformats.org/officeDocument/2006/relationships/hyperlink" Target="https://guiarsanrafael.com.ar/empresa/privilegio-hostel/" TargetMode="External" Id="rId1455" /><Relationship Type="http://schemas.openxmlformats.org/officeDocument/2006/relationships/hyperlink" Target="https://guiarsanrafael.com.ar/empresa/procar-repuestos-ford/" TargetMode="External" Id="rId1456" /><Relationship Type="http://schemas.openxmlformats.org/officeDocument/2006/relationships/hyperlink" Target="https://guiarsanrafael.com.ar/empresa/pronto-grafica/" TargetMode="External" Id="rId1457" /><Relationship Type="http://schemas.openxmlformats.org/officeDocument/2006/relationships/hyperlink" Target="https://guiarsanrafael.com.ar/empresa/psa-purificadores-bajo-mesada/" TargetMode="External" Id="rId1458" /><Relationship Type="http://schemas.openxmlformats.org/officeDocument/2006/relationships/hyperlink" Target="https://guiarsanrafael.com.ar/empresa/puerto-deseado-pescaderia/" TargetMode="External" Id="rId1459" /><Relationship Type="http://schemas.openxmlformats.org/officeDocument/2006/relationships/hyperlink" Target="https://guiarsanrafael.com.ar/empresa/puesta-del-sol/" TargetMode="External" Id="rId1460" /><Relationship Type="http://schemas.openxmlformats.org/officeDocument/2006/relationships/hyperlink" Target="https://guiarsanrafael.com.ar/empresa/puesto-bike-bicicleteria/" TargetMode="External" Id="rId1461" /><Relationship Type="http://schemas.openxmlformats.org/officeDocument/2006/relationships/hyperlink" Target="https://guiarsanrafael.com.ar/empresa/pueyrredon-motos/" TargetMode="External" Id="rId1462" /><Relationship Type="http://schemas.openxmlformats.org/officeDocument/2006/relationships/hyperlink" Target="https://guiarsanrafael.com.ar/empresa/pulso-fitness-gimnasio/" TargetMode="External" Id="rId1463" /><Relationship Type="http://schemas.openxmlformats.org/officeDocument/2006/relationships/hyperlink" Target="https://guiarsanrafael.com.ar/empresa/punto-de-encuentro-almacen-fiambreria/" TargetMode="External" Id="rId1464" /><Relationship Type="http://schemas.openxmlformats.org/officeDocument/2006/relationships/hyperlink" Target="https://guiarsanrafael.com.ar/empresa/punto-viajes/" TargetMode="External" Id="rId1465" /><Relationship Type="http://schemas.openxmlformats.org/officeDocument/2006/relationships/hyperlink" Target="https://guiarsanrafael.com.ar/empresa/pura-vida-gluten-free/" TargetMode="External" Id="rId1466" /><Relationship Type="http://schemas.openxmlformats.org/officeDocument/2006/relationships/hyperlink" Target="https://guiarsanrafael.com.ar/empresa/perez-julio-cesar/" TargetMode="External" Id="rId1467" /><Relationship Type="http://schemas.openxmlformats.org/officeDocument/2006/relationships/hyperlink" Target="https://guiarsanrafael.com.ar/empresa/perez-julio-cesar-2/" TargetMode="External" Id="rId1468" /><Relationship Type="http://schemas.openxmlformats.org/officeDocument/2006/relationships/hyperlink" Target="https://guiarsanrafael.com.ar/empresa/quiles-gabriela-belen/" TargetMode="External" Id="rId1469" /><Relationship Type="http://schemas.openxmlformats.org/officeDocument/2006/relationships/hyperlink" Target="https://guiarsanrafael.com.ar/empresa/quiroz-emilio-ruben-s/" TargetMode="External" Id="rId1470" /><Relationship Type="http://schemas.openxmlformats.org/officeDocument/2006/relationships/hyperlink" Target="https://guiarsanrafael.com.ar/empresa/rco-pan-panaderia-confiteria/" TargetMode="External" Id="rId1471" /><Relationship Type="http://schemas.openxmlformats.org/officeDocument/2006/relationships/hyperlink" Target="https://guiarsanrafael.com.ar/empresa/rada-andrea-daniela/" TargetMode="External" Id="rId1472" /><Relationship Type="http://schemas.openxmlformats.org/officeDocument/2006/relationships/hyperlink" Target="https://guiarsanrafael.com.ar/empresa/radiadores-fernandez/" TargetMode="External" Id="rId1473" /><Relationship Type="http://schemas.openxmlformats.org/officeDocument/2006/relationships/hyperlink" Target="https://guiarsanrafael.com.ar/empresa/radiadores-modelo/" TargetMode="External" Id="rId1474" /><Relationship Type="http://schemas.openxmlformats.org/officeDocument/2006/relationships/hyperlink" Target="https://guiarsanrafael.com.ar/empresa/raffeish-turismo-aventura/" TargetMode="External" Id="rId1475" /><Relationship Type="http://schemas.openxmlformats.org/officeDocument/2006/relationships/hyperlink" Target="https://guiarsanrafael.com.ar/empresa/raiz-tienda-saludable/" TargetMode="External" Id="rId1476" /><Relationship Type="http://schemas.openxmlformats.org/officeDocument/2006/relationships/hyperlink" Target="https://guiarsanrafael.com.ar/empresa/ralsy-repuestos/" TargetMode="External" Id="rId1477" /><Relationship Type="http://schemas.openxmlformats.org/officeDocument/2006/relationships/hyperlink" Target="https://guiarsanrafael.com.ar/empresa/ramiro-prieto/" TargetMode="External" Id="rId1478" /><Relationship Type="http://schemas.openxmlformats.org/officeDocument/2006/relationships/hyperlink" Target="https://guiarsanrafael.com.ar/empresa/ramos-repuestos-fiat/" TargetMode="External" Id="rId1479" /><Relationship Type="http://schemas.openxmlformats.org/officeDocument/2006/relationships/hyperlink" Target="https://guiarsanrafael.com.ar/empresa/rapi-pago/" TargetMode="External" Id="rId1480" /><Relationship Type="http://schemas.openxmlformats.org/officeDocument/2006/relationships/hyperlink" Target="https://guiarsanrafael.com.ar/empresa/raposeiras-gabriela-gisel/" TargetMode="External" Id="rId1481" /><Relationship Type="http://schemas.openxmlformats.org/officeDocument/2006/relationships/hyperlink" Target="https://guiarsanrafael.com.ar/empresa/raul-garavaglia/" TargetMode="External" Id="rId1482" /><Relationship Type="http://schemas.openxmlformats.org/officeDocument/2006/relationships/hyperlink" Target="https://guiarsanrafael.com.ar/empresa/raulina-manas/" TargetMode="External" Id="rId1483" /><Relationship Type="http://schemas.openxmlformats.org/officeDocument/2006/relationships/hyperlink" Target="https://guiarsanrafael.com.ar/empresa/rawson-bar/" TargetMode="External" Id="rId1484" /><Relationship Type="http://schemas.openxmlformats.org/officeDocument/2006/relationships/hyperlink" Target="https://guiarsanrafael.com.ar/empresa/rawson-negocios-inmobiliarios/" TargetMode="External" Id="rId1485" /><Relationship Type="http://schemas.openxmlformats.org/officeDocument/2006/relationships/hyperlink" Target="https://guiarsanrafael.com.ar/empresa/rayo-de-luz-optica/" TargetMode="External" Id="rId1486" /><Relationship Type="http://schemas.openxmlformats.org/officeDocument/2006/relationships/hyperlink" Target="https://guiarsanrafael.com.ar/empresa/rc-repuestos-competicion/" TargetMode="External" Id="rId1487" /><Relationship Type="http://schemas.openxmlformats.org/officeDocument/2006/relationships/hyperlink" Target="https://guiarsanrafael.com.ar/empresa/rd-ferreteria/" TargetMode="External" Id="rId1488" /><Relationship Type="http://schemas.openxmlformats.org/officeDocument/2006/relationships/hyperlink" Target="https://guiarsanrafael.com.ar/empresa/re-cam-fi/" TargetMode="External" Id="rId1489" /><Relationship Type="http://schemas.openxmlformats.org/officeDocument/2006/relationships/hyperlink" Target="https://guiarsanrafael.com.ar/empresa/rebolloso-maria-celeste/" TargetMode="External" Id="rId1490" /><Relationship Type="http://schemas.openxmlformats.org/officeDocument/2006/relationships/hyperlink" Target="https://guiarsanrafael.com.ar/empresa/reche-amoblamientos/" TargetMode="External" Id="rId1491" /><Relationship Type="http://schemas.openxmlformats.org/officeDocument/2006/relationships/hyperlink" Target="https://guiarsanrafael.com.ar/empresa/reche-muebles/" TargetMode="External" Id="rId1492" /><Relationship Type="http://schemas.openxmlformats.org/officeDocument/2006/relationships/hyperlink" Target="https://guiarsanrafael.com.ar/empresa/7502/" TargetMode="External" Id="rId1493" /><Relationship Type="http://schemas.openxmlformats.org/officeDocument/2006/relationships/hyperlink" Target="https://guiarsanrafael.com.ar/empresa/rectificadora-9-de-julio/" TargetMode="External" Id="rId1494" /><Relationship Type="http://schemas.openxmlformats.org/officeDocument/2006/relationships/hyperlink" Target="https://guiarsanrafael.com.ar/empresa/regalame-jugueteria/" TargetMode="External" Id="rId1495" /><Relationship Type="http://schemas.openxmlformats.org/officeDocument/2006/relationships/hyperlink" Target="https://guiarsanrafael.com.ar/empresa/regina-gigon/" TargetMode="External" Id="rId1496" /><Relationship Type="http://schemas.openxmlformats.org/officeDocument/2006/relationships/hyperlink" Target="https://guiarsanrafael.com.ar/empresa/regional-market-san-rafael/" TargetMode="External" Id="rId1497" /><Relationship Type="http://schemas.openxmlformats.org/officeDocument/2006/relationships/hyperlink" Target="https://guiarsanrafael.com.ar/empresa/regionales-antu-cayen/" TargetMode="External" Id="rId1498" /><Relationship Type="http://schemas.openxmlformats.org/officeDocument/2006/relationships/hyperlink" Target="https://guiarsanrafael.com.ar/empresa/regionales-los-mellis/" TargetMode="External" Id="rId1499" /><Relationship Type="http://schemas.openxmlformats.org/officeDocument/2006/relationships/hyperlink" Target="https://guiarsanrafael.com.ar/empresa/regionales-los-patacones/" TargetMode="External" Id="rId1500" /><Relationship Type="http://schemas.openxmlformats.org/officeDocument/2006/relationships/hyperlink" Target="https://guiarsanrafael.com.ar/empresa/rehactiva-instituto-terapeutico-de-rehabilitacion-2/" TargetMode="External" Id="rId1501" /><Relationship Type="http://schemas.openxmlformats.org/officeDocument/2006/relationships/hyperlink" Target="https://guiarsanrafael.com.ar/empresa/rehactiva-instituto-terapeutico-de-rehabilitacion/" TargetMode="External" Id="rId1502" /><Relationship Type="http://schemas.openxmlformats.org/officeDocument/2006/relationships/hyperlink" Target="https://guiarsanrafael.com.ar/empresa/renta-bike-san-rafael/" TargetMode="External" Id="rId1503" /><Relationship Type="http://schemas.openxmlformats.org/officeDocument/2006/relationships/hyperlink" Target="https://guiarsanrafael.com.ar/empresa/rentacar-sur/" TargetMode="External" Id="rId1504" /><Relationship Type="http://schemas.openxmlformats.org/officeDocument/2006/relationships/hyperlink" Target="https://guiarsanrafael.com.ar/empresa/repuestos-aleaga/" TargetMode="External" Id="rId1505" /><Relationship Type="http://schemas.openxmlformats.org/officeDocument/2006/relationships/hyperlink" Target="https://guiarsanrafael.com.ar/empresa/repuestos-detroit/" TargetMode="External" Id="rId1506" /><Relationship Type="http://schemas.openxmlformats.org/officeDocument/2006/relationships/hyperlink" Target="https://guiarsanrafael.com.ar/empresa/repuestos-fatmax/" TargetMode="External" Id="rId1507" /><Relationship Type="http://schemas.openxmlformats.org/officeDocument/2006/relationships/hyperlink" Target="https://guiarsanrafael.com.ar/empresa/8421/" TargetMode="External" Id="rId1508" /><Relationship Type="http://schemas.openxmlformats.org/officeDocument/2006/relationships/hyperlink" Target="https://guiarsanrafael.com.ar/empresa/repuestos-ruben/" TargetMode="External" Id="rId1509" /><Relationship Type="http://schemas.openxmlformats.org/officeDocument/2006/relationships/hyperlink" Target="https://guiarsanrafael.com.ar/empresa/repuestos-sarmiento/" TargetMode="External" Id="rId1510" /><Relationship Type="http://schemas.openxmlformats.org/officeDocument/2006/relationships/hyperlink" Target="https://guiarsanrafael.com.ar/empresa/repulles-maria-victoria/" TargetMode="External" Id="rId1511" /><Relationship Type="http://schemas.openxmlformats.org/officeDocument/2006/relationships/hyperlink" Target="https://guiarsanrafael.com.ar/empresa/restaurante-nina/" TargetMode="External" Id="rId1512" /><Relationship Type="http://schemas.openxmlformats.org/officeDocument/2006/relationships/hyperlink" Target="https://guiarsanrafael.com.ar/empresa/ricardo-centeno/" TargetMode="External" Id="rId1513" /><Relationship Type="http://schemas.openxmlformats.org/officeDocument/2006/relationships/hyperlink" Target="https://guiarsanrafael.com.ar/empresa/ricardo-lazaro/" TargetMode="External" Id="rId1514" /><Relationship Type="http://schemas.openxmlformats.org/officeDocument/2006/relationships/hyperlink" Target="https://guiarsanrafael.com.ar/empresa/troyano-ricardo/" TargetMode="External" Id="rId1515" /><Relationship Type="http://schemas.openxmlformats.org/officeDocument/2006/relationships/hyperlink" Target="https://guiarsanrafael.com.ar/empresa/ricas-pastas-artesanales/" TargetMode="External" Id="rId1516" /><Relationship Type="http://schemas.openxmlformats.org/officeDocument/2006/relationships/hyperlink" Target="https://guiarsanrafael.com.ar/empresa/ricitos-productos-capilares/" TargetMode="External" Id="rId1517" /><Relationship Type="http://schemas.openxmlformats.org/officeDocument/2006/relationships/hyperlink" Target="https://guiarsanrafael.com.ar/empresa/rio-azul-cabanas-y-camping/" TargetMode="External" Id="rId1518" /><Relationship Type="http://schemas.openxmlformats.org/officeDocument/2006/relationships/hyperlink" Target="https://guiarsanrafael.com.ar/empresa/7708/" TargetMode="External" Id="rId1519" /><Relationship Type="http://schemas.openxmlformats.org/officeDocument/2006/relationships/hyperlink" Target="https://guiarsanrafael.com.ar/empresa/rivamar-federico-andres/" TargetMode="External" Id="rId1520" /><Relationship Type="http://schemas.openxmlformats.org/officeDocument/2006/relationships/hyperlink" Target="https://guiarsanrafael.com.ar/empresa/rivero-gonzalez-romina-soledad/" TargetMode="External" Id="rId1521" /><Relationship Type="http://schemas.openxmlformats.org/officeDocument/2006/relationships/hyperlink" Target="https://guiarsanrafael.com.ar/empresa/rl-automotores/" TargetMode="External" Id="rId1522" /><Relationship Type="http://schemas.openxmlformats.org/officeDocument/2006/relationships/hyperlink" Target="https://guiarsanrafael.com.ar/empresa/rm-ramiro-motos/" TargetMode="External" Id="rId1523" /><Relationship Type="http://schemas.openxmlformats.org/officeDocument/2006/relationships/hyperlink" Target="https://guiarsanrafael.com.ar/empresa/roberto-e-perez/" TargetMode="External" Id="rId1524" /><Relationship Type="http://schemas.openxmlformats.org/officeDocument/2006/relationships/hyperlink" Target="https://guiarsanrafael.com.ar/empresa/roberto-frenos/" TargetMode="External" Id="rId1525" /><Relationship Type="http://schemas.openxmlformats.org/officeDocument/2006/relationships/hyperlink" Target="https://guiarsanrafael.com.ar/empresa/roberto-mamani/" TargetMode="External" Id="rId1526" /><Relationship Type="http://schemas.openxmlformats.org/officeDocument/2006/relationships/hyperlink" Target="https://guiarsanrafael.com.ar/empresa/rocio-daniela-cianci/" TargetMode="External" Id="rId1527" /><Relationship Type="http://schemas.openxmlformats.org/officeDocument/2006/relationships/hyperlink" Target="https://guiarsanrafael.com.ar/empresa/rocio-m-ferreyro/" TargetMode="External" Id="rId1528" /><Relationship Type="http://schemas.openxmlformats.org/officeDocument/2006/relationships/hyperlink" Target="https://guiarsanrafael.com.ar/empresa/rocio-oblitas/" TargetMode="External" Id="rId1529" /><Relationship Type="http://schemas.openxmlformats.org/officeDocument/2006/relationships/hyperlink" Target="https://guiarsanrafael.com.ar/empresa/rodolfo-ariel-faria/" TargetMode="External" Id="rId1530" /><Relationship Type="http://schemas.openxmlformats.org/officeDocument/2006/relationships/hyperlink" Target="https://guiarsanrafael.com.ar/empresa/rodolfo-tosin/" TargetMode="External" Id="rId1531" /><Relationship Type="http://schemas.openxmlformats.org/officeDocument/2006/relationships/hyperlink" Target="https://guiarsanrafael.com.ar/empresa/rodrigo-c-perez/" TargetMode="External" Id="rId1532" /><Relationship Type="http://schemas.openxmlformats.org/officeDocument/2006/relationships/hyperlink" Target="https://guiarsanrafael.com.ar/empresa/rodriguez-ferraro-mariana/" TargetMode="External" Id="rId1533" /><Relationship Type="http://schemas.openxmlformats.org/officeDocument/2006/relationships/hyperlink" Target="https://guiarsanrafael.com.ar/empresa/rodriguez-mauleon-mauricio/" TargetMode="External" Id="rId1534" /><Relationship Type="http://schemas.openxmlformats.org/officeDocument/2006/relationships/hyperlink" Target="https://guiarsanrafael.com.ar/empresa/roldan-brian/" TargetMode="External" Id="rId1535" /><Relationship Type="http://schemas.openxmlformats.org/officeDocument/2006/relationships/hyperlink" Target="https://guiarsanrafael.com.ar/empresa/roma-ferreteria/" TargetMode="External" Id="rId1536" /><Relationship Type="http://schemas.openxmlformats.org/officeDocument/2006/relationships/hyperlink" Target="https://guiarsanrafael.com.ar/empresa/romero-marcela-mariana/" TargetMode="External" Id="rId1537" /><Relationship Type="http://schemas.openxmlformats.org/officeDocument/2006/relationships/hyperlink" Target="https://guiarsanrafael.com.ar/empresa/romina-collado/" TargetMode="External" Id="rId1538" /><Relationship Type="http://schemas.openxmlformats.org/officeDocument/2006/relationships/hyperlink" Target="https://guiarsanrafael.com.ar/empresa/romina-maldonado/" TargetMode="External" Id="rId1539" /><Relationship Type="http://schemas.openxmlformats.org/officeDocument/2006/relationships/hyperlink" Target="https://guiarsanrafael.com.ar/empresa/camila-soto-masoterapeuta/" TargetMode="External" Id="rId1540" /><Relationship Type="http://schemas.openxmlformats.org/officeDocument/2006/relationships/hyperlink" Target="https://guiarsanrafael.com.ar/empresa/rosales-fernandez-cecilia-vanesa/" TargetMode="External" Id="rId1541" /><Relationship Type="http://schemas.openxmlformats.org/officeDocument/2006/relationships/hyperlink" Target="https://guiarsanrafael.com.ar/empresa/rosse-nails-co/" TargetMode="External" Id="rId1542" /><Relationship Type="http://schemas.openxmlformats.org/officeDocument/2006/relationships/hyperlink" Target="https://guiarsanrafael.com.ar/empresa/rotiseria-castelli/" TargetMode="External" Id="rId1543" /><Relationship Type="http://schemas.openxmlformats.org/officeDocument/2006/relationships/hyperlink" Target="https://guiarsanrafael.com.ar/empresa/roxana-barahona/" TargetMode="External" Id="rId1544" /><Relationship Type="http://schemas.openxmlformats.org/officeDocument/2006/relationships/hyperlink" Target="https://guiarsanrafael.com.ar/empresa/roxana-cortez/" TargetMode="External" Id="rId1545" /><Relationship Type="http://schemas.openxmlformats.org/officeDocument/2006/relationships/hyperlink" Target="https://guiarsanrafael.com.ar/empresa/roxana-maturano/" TargetMode="External" Id="rId1546" /><Relationship Type="http://schemas.openxmlformats.org/officeDocument/2006/relationships/hyperlink" Target="https://guiarsanrafael.com.ar/empresa/rpm-suspensiones/" TargetMode="External" Id="rId1547" /><Relationship Type="http://schemas.openxmlformats.org/officeDocument/2006/relationships/hyperlink" Target="https://guiarsanrafael.com.ar/empresa/rsk-motos/" TargetMode="External" Id="rId1548" /><Relationship Type="http://schemas.openxmlformats.org/officeDocument/2006/relationships/hyperlink" Target="https://guiarsanrafael.com.ar/empresa/ruda-cosmetica-natural/" TargetMode="External" Id="rId1549" /><Relationship Type="http://schemas.openxmlformats.org/officeDocument/2006/relationships/hyperlink" Target="https://guiarsanrafael.com.ar/empresa/ruiz-daniel-fabian/" TargetMode="External" Id="rId1550" /><Relationship Type="http://schemas.openxmlformats.org/officeDocument/2006/relationships/hyperlink" Target="https://guiarsanrafael.com.ar/empresa/rusca-franco-julian/" TargetMode="External" Id="rId1551" /><Relationship Type="http://schemas.openxmlformats.org/officeDocument/2006/relationships/hyperlink" Target="https://guiarsanrafael.com.ar/empresa/s-grafica/" TargetMode="External" Id="rId1552" /><Relationship Type="http://schemas.openxmlformats.org/officeDocument/2006/relationships/hyperlink" Target="https://guiarsanrafael.com.ar/empresa/sm-drinks-bebidas-y-fiambreria/" TargetMode="External" Id="rId1553" /><Relationship Type="http://schemas.openxmlformats.org/officeDocument/2006/relationships/hyperlink" Target="https://guiarsanrafael.com.ar/empresa/s-i-l-a-repuestos/" TargetMode="External" Id="rId1554" /><Relationship Type="http://schemas.openxmlformats.org/officeDocument/2006/relationships/hyperlink" Target="https://guiarsanrafael.com.ar/empresa/saavedra-salud-servicios-medicos/" TargetMode="External" Id="rId1555" /><Relationship Type="http://schemas.openxmlformats.org/officeDocument/2006/relationships/hyperlink" Target="https://guiarsanrafael.com.ar/empresa/sabio-aberturas/" TargetMode="External" Id="rId1556" /><Relationship Type="http://schemas.openxmlformats.org/officeDocument/2006/relationships/hyperlink" Target="https://guiarsanrafael.com.ar/empresa/sabores-delicatessen/" TargetMode="External" Id="rId1557" /><Relationship Type="http://schemas.openxmlformats.org/officeDocument/2006/relationships/hyperlink" Target="https://guiarsanrafael.com.ar/empresa/sabores-panaderia-confiteria/" TargetMode="External" Id="rId1558" /><Relationship Type="http://schemas.openxmlformats.org/officeDocument/2006/relationships/hyperlink" Target="https://guiarsanrafael.com.ar/empresa/sabrina-acuna/" TargetMode="External" Id="rId1559" /><Relationship Type="http://schemas.openxmlformats.org/officeDocument/2006/relationships/hyperlink" Target="https://guiarsanrafael.com.ar/empresa/saci-laboratorio-de-analisis-clinicos/" TargetMode="External" Id="rId1560" /><Relationship Type="http://schemas.openxmlformats.org/officeDocument/2006/relationships/hyperlink" Target="https://guiarsanrafael.com.ar/empresa/salomon-maria-carolina/" TargetMode="External" Id="rId1561" /><Relationship Type="http://schemas.openxmlformats.org/officeDocument/2006/relationships/hyperlink" Target="https://guiarsanrafael.com.ar/empresa/salvo-repuestos/" TargetMode="External" Id="rId1562" /><Relationship Type="http://schemas.openxmlformats.org/officeDocument/2006/relationships/hyperlink" Target="https://guiarsanrafael.com.ar/empresa/salvo-repuestos-2/" TargetMode="External" Id="rId1563" /><Relationship Type="http://schemas.openxmlformats.org/officeDocument/2006/relationships/hyperlink" Target="https://guiarsanrafael.com.ar/empresa/samartfix/" TargetMode="External" Id="rId1564" /><Relationship Type="http://schemas.openxmlformats.org/officeDocument/2006/relationships/hyperlink" Target="https://guiarsanrafael.com.ar/empresa/samper-mario-alberto/" TargetMode="External" Id="rId1565" /><Relationship Type="http://schemas.openxmlformats.org/officeDocument/2006/relationships/hyperlink" Target="https://guiarsanrafael.com.ar/empresa/san-francisco/" TargetMode="External" Id="rId1566" /><Relationship Type="http://schemas.openxmlformats.org/officeDocument/2006/relationships/hyperlink" Target="https://guiarsanrafael.com.ar/empresa/san-juan-javier-alonso/" TargetMode="External" Id="rId1567" /><Relationship Type="http://schemas.openxmlformats.org/officeDocument/2006/relationships/hyperlink" Target="https://guiarsanrafael.com.ar/empresa/san-julian-productos-electricos-y-mas/" TargetMode="External" Id="rId1568" /><Relationship Type="http://schemas.openxmlformats.org/officeDocument/2006/relationships/hyperlink" Target="https://guiarsanrafael.com.ar/empresa/san-marino-gimnasio/" TargetMode="External" Id="rId1569" /><Relationship Type="http://schemas.openxmlformats.org/officeDocument/2006/relationships/hyperlink" Target="https://guiarsanrafael.com.ar/empresa/san-martin-hotel-and-spa/" TargetMode="External" Id="rId1570" /><Relationship Type="http://schemas.openxmlformats.org/officeDocument/2006/relationships/hyperlink" Target="https://guiarsanrafael.com.ar/empresa/san-rafael-agricola/" TargetMode="External" Id="rId1571" /><Relationship Type="http://schemas.openxmlformats.org/officeDocument/2006/relationships/hyperlink" Target="https://guiarsanrafael.com.ar/empresa/san-rafael-color/" TargetMode="External" Id="rId1572" /><Relationship Type="http://schemas.openxmlformats.org/officeDocument/2006/relationships/hyperlink" Target="https://guiarsanrafael.com.ar/empresa/san-rafael-extintores/" TargetMode="External" Id="rId1573" /><Relationship Type="http://schemas.openxmlformats.org/officeDocument/2006/relationships/hyperlink" Target="https://guiarsanrafael.com.ar/empresa/san-rafael-group/" TargetMode="External" Id="rId1574" /><Relationship Type="http://schemas.openxmlformats.org/officeDocument/2006/relationships/hyperlink" Target="https://guiarsanrafael.com.ar/empresa/mi-mundo-arco-iris-jardin-maternal/" TargetMode="External" Id="rId1575" /><Relationship Type="http://schemas.openxmlformats.org/officeDocument/2006/relationships/hyperlink" Target="https://guiarsanrafael.com.ar/empresa/san-rafael-maquinas/" TargetMode="External" Id="rId1576" /><Relationship Type="http://schemas.openxmlformats.org/officeDocument/2006/relationships/hyperlink" Target="https://guiarsanrafael.com.ar/empresa/11397/" TargetMode="External" Id="rId1577" /><Relationship Type="http://schemas.openxmlformats.org/officeDocument/2006/relationships/hyperlink" Target="https://guiarsanrafael.com.ar/empresa/san-rafael-motos-quads/" TargetMode="External" Id="rId1578" /><Relationship Type="http://schemas.openxmlformats.org/officeDocument/2006/relationships/hyperlink" Target="https://guiarsanrafael.com.ar/empresa/san-telmo-resto-bar/" TargetMode="External" Id="rId1579" /><Relationship Type="http://schemas.openxmlformats.org/officeDocument/2006/relationships/hyperlink" Target="https://guiarsanrafael.com.ar/empresa/sanchez-maria-eugenia/" TargetMode="External" Id="rId1580" /><Relationship Type="http://schemas.openxmlformats.org/officeDocument/2006/relationships/hyperlink" Target="https://guiarsanrafael.com.ar/empresa/sandra-marzzan-perfumeria/" TargetMode="External" Id="rId1581" /><Relationship Type="http://schemas.openxmlformats.org/officeDocument/2006/relationships/hyperlink" Target="https://guiarsanrafael.com.ar/empresa/sandro-suoni/" TargetMode="External" Id="rId1582" /><Relationship Type="http://schemas.openxmlformats.org/officeDocument/2006/relationships/hyperlink" Target="https://guiarsanrafael.com.ar/empresa/sanelec-ferreteria/" TargetMode="External" Id="rId1583" /><Relationship Type="http://schemas.openxmlformats.org/officeDocument/2006/relationships/hyperlink" Target="https://guiarsanrafael.com.ar/empresa/sangucheto-moreno/" TargetMode="External" Id="rId1584" /><Relationship Type="http://schemas.openxmlformats.org/officeDocument/2006/relationships/hyperlink" Target="https://guiarsanrafael.com.ar/empresa/sanitarios-italia/" TargetMode="External" Id="rId1585" /><Relationship Type="http://schemas.openxmlformats.org/officeDocument/2006/relationships/hyperlink" Target="https://guiarsanrafael.com.ar/empresa/sanitarios-san-rafael/" TargetMode="External" Id="rId1586" /><Relationship Type="http://schemas.openxmlformats.org/officeDocument/2006/relationships/hyperlink" Target="https://guiarsanrafael.com.ar/empresa/santa-maria/" TargetMode="External" Id="rId1587" /><Relationship Type="http://schemas.openxmlformats.org/officeDocument/2006/relationships/hyperlink" Target="https://guiarsanrafael.com.ar/empresa/santagucheria/" TargetMode="External" Id="rId1588" /><Relationship Type="http://schemas.openxmlformats.org/officeDocument/2006/relationships/hyperlink" Target="https://guiarsanrafael.com.ar/empresa/santiago-simon/" TargetMode="External" Id="rId1589" /><Relationship Type="http://schemas.openxmlformats.org/officeDocument/2006/relationships/hyperlink" Target="https://guiarsanrafael.com.ar/empresa/santino-muebleria/" TargetMode="External" Id="rId1590" /><Relationship Type="http://schemas.openxmlformats.org/officeDocument/2006/relationships/hyperlink" Target="https://guiarsanrafael.com.ar/empresa/santos-seguros/" TargetMode="External" Id="rId1591" /><Relationship Type="http://schemas.openxmlformats.org/officeDocument/2006/relationships/hyperlink" Target="https://guiarsanrafael.com.ar/empresa/sapunar-silvina-raquel/" TargetMode="External" Id="rId1592" /><Relationship Type="http://schemas.openxmlformats.org/officeDocument/2006/relationships/hyperlink" Target="https://guiarsanrafael.com.ar/empresa/saralegui-mercedes-andrea/" TargetMode="External" Id="rId1593" /><Relationship Type="http://schemas.openxmlformats.org/officeDocument/2006/relationships/hyperlink" Target="https://guiarsanrafael.com.ar/empresa/rios-castrillon-anibal-ricardo/" TargetMode="External" Id="rId1594" /><Relationship Type="http://schemas.openxmlformats.org/officeDocument/2006/relationships/hyperlink" Target="https://guiarsanrafael.com.ar/empresa/sartori-motos-y-quads/" TargetMode="External" Id="rId1595" /><Relationship Type="http://schemas.openxmlformats.org/officeDocument/2006/relationships/hyperlink" Target="https://guiarsanrafael.com.ar/empresa/sat-anuar-gasim/" TargetMode="External" Id="rId1596" /><Relationship Type="http://schemas.openxmlformats.org/officeDocument/2006/relationships/hyperlink" Target="https://guiarsanrafael.com.ar/empresa/sat-erasoamira-nahir/" TargetMode="External" Id="rId1597" /><Relationship Type="http://schemas.openxmlformats.org/officeDocument/2006/relationships/hyperlink" Target="https://guiarsanrafael.com.ar/empresa/scanio-andrea-vanina/" TargetMode="External" Id="rId1598" /><Relationship Type="http://schemas.openxmlformats.org/officeDocument/2006/relationships/hyperlink" Target="https://guiarsanrafael.com.ar/empresa/scollo-andrea-fabiola/" TargetMode="External" Id="rId1599" /><Relationship Type="http://schemas.openxmlformats.org/officeDocument/2006/relationships/hyperlink" Target="https://guiarsanrafael.com.ar/empresa/sebastian-biurrum/" TargetMode="External" Id="rId1600" /><Relationship Type="http://schemas.openxmlformats.org/officeDocument/2006/relationships/hyperlink" Target="https://guiarsanrafael.com.ar/empresa/secretos-del-monte/" TargetMode="External" Id="rId1601" /><Relationship Type="http://schemas.openxmlformats.org/officeDocument/2006/relationships/hyperlink" Target="https://guiarsanrafael.com.ar/empresa/sed-seguridad-electronica-digital/" TargetMode="External" Id="rId1602" /><Relationship Type="http://schemas.openxmlformats.org/officeDocument/2006/relationships/hyperlink" Target="https://guiarsanrafael.com.ar/empresa/sei-tu-heladeria-san-rafael/" TargetMode="External" Id="rId1603" /><Relationship Type="http://schemas.openxmlformats.org/officeDocument/2006/relationships/hyperlink" Target="https://guiarsanrafael.com.ar/empresa/sergio-buttini/" TargetMode="External" Id="rId1604" /><Relationship Type="http://schemas.openxmlformats.org/officeDocument/2006/relationships/hyperlink" Target="https://guiarsanrafael.com.ar/empresa/sergio-ciardullo/" TargetMode="External" Id="rId1605" /><Relationship Type="http://schemas.openxmlformats.org/officeDocument/2006/relationships/hyperlink" Target="https://guiarsanrafael.com.ar/empresa/sergio-espinosa/" TargetMode="External" Id="rId1606" /><Relationship Type="http://schemas.openxmlformats.org/officeDocument/2006/relationships/hyperlink" Target="https://guiarsanrafael.com.ar/empresa/sergio-molina/" TargetMode="External" Id="rId1607" /><Relationship Type="http://schemas.openxmlformats.org/officeDocument/2006/relationships/hyperlink" Target="https://guiarsanrafael.com.ar/empresa/sergio-omar-lana-san-blas/" TargetMode="External" Id="rId1608" /><Relationship Type="http://schemas.openxmlformats.org/officeDocument/2006/relationships/hyperlink" Target="https://guiarsanrafael.com.ar/empresa/5968/" TargetMode="External" Id="rId1609" /><Relationship Type="http://schemas.openxmlformats.org/officeDocument/2006/relationships/hyperlink" Target="https://guiarsanrafael.com.ar/empresa/sergio-sabio/" TargetMode="External" Id="rId1610" /><Relationship Type="http://schemas.openxmlformats.org/officeDocument/2006/relationships/hyperlink" Target="https://guiarsanrafael.com.ar/empresa/servica-autoelevadores/" TargetMode="External" Id="rId1611" /><Relationship Type="http://schemas.openxmlformats.org/officeDocument/2006/relationships/hyperlink" Target="https://guiarsanrafael.com.ar/empresa/senor-matafuego/" TargetMode="External" Id="rId1612" /><Relationship Type="http://schemas.openxmlformats.org/officeDocument/2006/relationships/hyperlink" Target="https://guiarsanrafael.com.ar/empresa/shopping-del-panadero/" TargetMode="External" Id="rId1613" /><Relationship Type="http://schemas.openxmlformats.org/officeDocument/2006/relationships/hyperlink" Target="https://guiarsanrafael.com.ar/empresa/sia-servicio-integral-del-automotor/" TargetMode="External" Id="rId1614" /><Relationship Type="http://schemas.openxmlformats.org/officeDocument/2006/relationships/hyperlink" Target="https://guiarsanrafael.com.ar/empresa/sidoti-danisa/" TargetMode="External" Id="rId1615" /><Relationship Type="http://schemas.openxmlformats.org/officeDocument/2006/relationships/hyperlink" Target="https://guiarsanrafael.com.ar/empresa/sierra-diego-martin/" TargetMode="External" Id="rId1616" /><Relationship Type="http://schemas.openxmlformats.org/officeDocument/2006/relationships/hyperlink" Target="https://guiarsanrafael.com.ar/empresa/sierra-iluminacion/" TargetMode="External" Id="rId1617" /><Relationship Type="http://schemas.openxmlformats.org/officeDocument/2006/relationships/hyperlink" Target="https://guiarsanrafael.com.ar/empresa/silvana-l-arce/" TargetMode="External" Id="rId1618" /><Relationship Type="http://schemas.openxmlformats.org/officeDocument/2006/relationships/hyperlink" Target="https://guiarsanrafael.com.ar/empresa/silvana-quintano/" TargetMode="External" Id="rId1619" /><Relationship Type="http://schemas.openxmlformats.org/officeDocument/2006/relationships/hyperlink" Target="https://guiarsanrafael.com.ar/empresa/silvana-rodriguez/" TargetMode="External" Id="rId1620" /><Relationship Type="http://schemas.openxmlformats.org/officeDocument/2006/relationships/hyperlink" Target="https://guiarsanrafael.com.ar/empresa/silvia-figueroa-estilista/" TargetMode="External" Id="rId1621" /><Relationship Type="http://schemas.openxmlformats.org/officeDocument/2006/relationships/hyperlink" Target="https://guiarsanrafael.com.ar/empresa/silvina-fornes/" TargetMode="External" Id="rId1622" /><Relationship Type="http://schemas.openxmlformats.org/officeDocument/2006/relationships/hyperlink" Target="https://guiarsanrafael.com.ar/empresa/silvina-meriela-perez/" TargetMode="External" Id="rId1623" /><Relationship Type="http://schemas.openxmlformats.org/officeDocument/2006/relationships/hyperlink" Target="https://guiarsanrafael.com.ar/empresa/silvina-murcia-estudio-de-danzas/" TargetMode="External" Id="rId1624" /><Relationship Type="http://schemas.openxmlformats.org/officeDocument/2006/relationships/hyperlink" Target="https://guiarsanrafael.com.ar/empresa/simon-gottero-estilista/" TargetMode="External" Id="rId1625" /><Relationship Type="http://schemas.openxmlformats.org/officeDocument/2006/relationships/hyperlink" Target="https://guiarsanrafael.com.ar/empresa/simona-pasteleria-panaderia/" TargetMode="External" Id="rId1626" /><Relationship Type="http://schemas.openxmlformats.org/officeDocument/2006/relationships/hyperlink" Target="https://guiarsanrafael.com.ar/empresa/sinergia-academia/" TargetMode="External" Id="rId1627" /><Relationship Type="http://schemas.openxmlformats.org/officeDocument/2006/relationships/hyperlink" Target="https://guiarsanrafael.com.ar/empresa/sinergia-insumos-de-peluqueria/" TargetMode="External" Id="rId1628" /><Relationship Type="http://schemas.openxmlformats.org/officeDocument/2006/relationships/hyperlink" Target="https://guiarsanrafael.com.ar/empresa/sinich-lubricantes/" TargetMode="External" Id="rId1629" /><Relationship Type="http://schemas.openxmlformats.org/officeDocument/2006/relationships/hyperlink" Target="https://guiarsanrafael.com.ar/empresa/sm-motos/" TargetMode="External" Id="rId1630" /><Relationship Type="http://schemas.openxmlformats.org/officeDocument/2006/relationships/hyperlink" Target="https://guiarsanrafael.com.ar/empresa/smoke-burgers-grill/" TargetMode="External" Id="rId1631" /><Relationship Type="http://schemas.openxmlformats.org/officeDocument/2006/relationships/hyperlink" Target="https://guiarsanrafael.com.ar/empresa/sofia-costa-ahumada/" TargetMode="External" Id="rId1632" /><Relationship Type="http://schemas.openxmlformats.org/officeDocument/2006/relationships/hyperlink" Target="https://guiarsanrafael.com.ar/empresa/sofia-estivill/" TargetMode="External" Id="rId1633" /><Relationship Type="http://schemas.openxmlformats.org/officeDocument/2006/relationships/hyperlink" Target="https://guiarsanrafael.com.ar/empresa/sofia-llach/" TargetMode="External" Id="rId1634" /><Relationship Type="http://schemas.openxmlformats.org/officeDocument/2006/relationships/hyperlink" Target="https://guiarsanrafael.com.ar/empresa/sofia-pastor/" TargetMode="External" Id="rId1635" /><Relationship Type="http://schemas.openxmlformats.org/officeDocument/2006/relationships/hyperlink" Target="https://guiarsanrafael.com.ar/empresa/sofia-galdon/" TargetMode="External" Id="rId1636" /><Relationship Type="http://schemas.openxmlformats.org/officeDocument/2006/relationships/hyperlink" Target="https://guiarsanrafael.com.ar/empresa/sol-mayor-instituto-de-musica/" TargetMode="External" Id="rId1637" /><Relationship Type="http://schemas.openxmlformats.org/officeDocument/2006/relationships/hyperlink" Target="https://guiarsanrafael.com.ar/empresa/solar-mendoza-san-rafael/" TargetMode="External" Id="rId1638" /><Relationship Type="http://schemas.openxmlformats.org/officeDocument/2006/relationships/hyperlink" Target="https://guiarsanrafael.com.ar/empresa/soldier-suplementacion-deportiva/" TargetMode="External" Id="rId1639" /><Relationship Type="http://schemas.openxmlformats.org/officeDocument/2006/relationships/hyperlink" Target="https://guiarsanrafael.com.ar/empresa/soleado-departamentos/" TargetMode="External" Id="rId1640" /><Relationship Type="http://schemas.openxmlformats.org/officeDocument/2006/relationships/hyperlink" Target="https://guiarsanrafael.com.ar/empresa/acosta-maria-c-soledad-cday-866/" TargetMode="External" Id="rId1641" /><Relationship Type="http://schemas.openxmlformats.org/officeDocument/2006/relationships/hyperlink" Target="https://guiarsanrafael.com.ar/empresa/soledad-morales/" TargetMode="External" Id="rId1642" /><Relationship Type="http://schemas.openxmlformats.org/officeDocument/2006/relationships/hyperlink" Target="https://guiarsanrafael.com.ar/empresa/soledad-troyano/" TargetMode="External" Id="rId1643" /><Relationship Type="http://schemas.openxmlformats.org/officeDocument/2006/relationships/hyperlink" Target="https://guiarsanrafael.com.ar/empresa/soledad-zingaretti/" TargetMode="External" Id="rId1644" /><Relationship Type="http://schemas.openxmlformats.org/officeDocument/2006/relationships/hyperlink" Target="https://guiarsanrafael.com.ar/empresa/solo-moto/" TargetMode="External" Id="rId1645" /><Relationship Type="http://schemas.openxmlformats.org/officeDocument/2006/relationships/hyperlink" Target="https://guiarsanrafael.com.ar/empresa/sombra-hnos/" TargetMode="External" Id="rId1646" /><Relationship Type="http://schemas.openxmlformats.org/officeDocument/2006/relationships/hyperlink" Target="https://guiarsanrafael.com.ar/empresa/sonia-simon/" TargetMode="External" Id="rId1647" /><Relationship Type="http://schemas.openxmlformats.org/officeDocument/2006/relationships/hyperlink" Target="https://guiarsanrafael.com.ar/empresa/sonia-torres/" TargetMode="External" Id="rId1648" /><Relationship Type="http://schemas.openxmlformats.org/officeDocument/2006/relationships/hyperlink" Target="https://guiarsanrafael.com.ar/empresa/sorroche-manno-angeles/" TargetMode="External" Id="rId1649" /><Relationship Type="http://schemas.openxmlformats.org/officeDocument/2006/relationships/hyperlink" Target="https://guiarsanrafael.com.ar/empresa/spinella-la-moda-con-vos/" TargetMode="External" Id="rId1650" /><Relationship Type="http://schemas.openxmlformats.org/officeDocument/2006/relationships/hyperlink" Target="https://guiarsanrafael.com.ar/empresa/spinello-silvia-maria/" TargetMode="External" Id="rId1651" /><Relationship Type="http://schemas.openxmlformats.org/officeDocument/2006/relationships/hyperlink" Target="https://guiarsanrafael.com.ar/empresa/sportacus-deporte/" TargetMode="External" Id="rId1652" /><Relationship Type="http://schemas.openxmlformats.org/officeDocument/2006/relationships/hyperlink" Target="https://guiarsanrafael.com.ar/empresa/sra-mila-fabrica-de-milanesas/" TargetMode="External" Id="rId1653" /><Relationship Type="http://schemas.openxmlformats.org/officeDocument/2006/relationships/hyperlink" Target="https://guiarsanrafael.com.ar/empresa/estadium-gimnasia-artistica/" TargetMode="External" Id="rId1654" /><Relationship Type="http://schemas.openxmlformats.org/officeDocument/2006/relationships/hyperlink" Target="https://guiarsanrafael.com.ar/empresa/start-papelera/" TargetMode="External" Id="rId1655" /><Relationship Type="http://schemas.openxmlformats.org/officeDocument/2006/relationships/hyperlink" Target="https://guiarsanrafael.com.ar/empresa/status-barber-coffee/" TargetMode="External" Id="rId1656" /><Relationship Type="http://schemas.openxmlformats.org/officeDocument/2006/relationships/hyperlink" Target="https://guiarsanrafael.com.ar/empresa/stella-maris-mazzagatti/" TargetMode="External" Id="rId1657" /><Relationship Type="http://schemas.openxmlformats.org/officeDocument/2006/relationships/hyperlink" Target="https://guiarsanrafael.com.ar/empresa/sti-servicio-de-electrodomestico-integral/" TargetMode="External" Id="rId1658" /><Relationship Type="http://schemas.openxmlformats.org/officeDocument/2006/relationships/hyperlink" Target="https://guiarsanrafael.com.ar/empresa/strong-crosstraining/" TargetMode="External" Id="rId1659" /><Relationship Type="http://schemas.openxmlformats.org/officeDocument/2006/relationships/hyperlink" Target="https://guiarsanrafael.com.ar/empresa/sud-restaurant/" TargetMode="External" Id="rId1660" /><Relationship Type="http://schemas.openxmlformats.org/officeDocument/2006/relationships/hyperlink" Target="https://guiarsanrafael.com.ar/empresa/suenos-estilistas/" TargetMode="External" Id="rId1661" /><Relationship Type="http://schemas.openxmlformats.org/officeDocument/2006/relationships/hyperlink" Target="https://guiarsanrafael.com.ar/empresa/super-sano/" TargetMode="External" Id="rId1662" /><Relationship Type="http://schemas.openxmlformats.org/officeDocument/2006/relationships/hyperlink" Target="https://guiarsanrafael.com.ar/empresa/supermercado-del-envase/" TargetMode="External" Id="rId1663" /><Relationship Type="http://schemas.openxmlformats.org/officeDocument/2006/relationships/hyperlink" Target="https://guiarsanrafael.com.ar/empresa/sur-blackout-cortinas-roller/" TargetMode="External" Id="rId1664" /><Relationship Type="http://schemas.openxmlformats.org/officeDocument/2006/relationships/hyperlink" Target="https://guiarsanrafael.com.ar/empresa/sur-coppiers-fotocopiadoras-impresoras/" TargetMode="External" Id="rId1665" /><Relationship Type="http://schemas.openxmlformats.org/officeDocument/2006/relationships/hyperlink" Target="https://guiarsanrafael.com.ar/empresa/sur-glass-vidrios-y-aluminio/" TargetMode="External" Id="rId1666" /><Relationship Type="http://schemas.openxmlformats.org/officeDocument/2006/relationships/hyperlink" Target="https://guiarsanrafael.com.ar/empresa/sur-tecnica/" TargetMode="External" Id="rId1667" /><Relationship Type="http://schemas.openxmlformats.org/officeDocument/2006/relationships/hyperlink" Target="https://guiarsanrafael.com.ar/empresa/suriego-3/" TargetMode="External" Id="rId1668" /><Relationship Type="http://schemas.openxmlformats.org/officeDocument/2006/relationships/hyperlink" Target="https://guiarsanrafael.com.ar/empresa/suriego-2/" TargetMode="External" Id="rId1669" /><Relationship Type="http://schemas.openxmlformats.org/officeDocument/2006/relationships/hyperlink" Target="https://guiarsanrafael.com.ar/empresa/suriego/" TargetMode="External" Id="rId1670" /><Relationship Type="http://schemas.openxmlformats.org/officeDocument/2006/relationships/hyperlink" Target="https://guiarsanrafael.com.ar/empresa/surtigoma/" TargetMode="External" Id="rId1671" /><Relationship Type="http://schemas.openxmlformats.org/officeDocument/2006/relationships/hyperlink" Target="https://guiarsanrafael.com.ar/empresa/susana-tortosa/" TargetMode="External" Id="rId1672" /><Relationship Type="http://schemas.openxmlformats.org/officeDocument/2006/relationships/hyperlink" Target="https://guiarsanrafael.com.ar/empresa/sushi-koshi/" TargetMode="External" Id="rId1673" /><Relationship Type="http://schemas.openxmlformats.org/officeDocument/2006/relationships/hyperlink" Target="https://guiarsanrafael.com.ar/empresa/system-seguridad-electronica/" TargetMode="External" Id="rId1674" /><Relationship Type="http://schemas.openxmlformats.org/officeDocument/2006/relationships/hyperlink" Target="https://guiarsanrafael.com.ar/empresa/sanchez-mauricio-r/" TargetMode="External" Id="rId1675" /><Relationship Type="http://schemas.openxmlformats.org/officeDocument/2006/relationships/hyperlink" Target="https://guiarsanrafael.com.ar/empresa/taiel-fiorentino/" TargetMode="External" Id="rId1676" /><Relationship Type="http://schemas.openxmlformats.org/officeDocument/2006/relationships/hyperlink" Target="https://guiarsanrafael.com.ar/empresa/taina-rico-y-saludable/" TargetMode="External" Id="rId1677" /><Relationship Type="http://schemas.openxmlformats.org/officeDocument/2006/relationships/hyperlink" Target="https://guiarsanrafael.com.ar/empresa/taller-de-calzado/" TargetMode="External" Id="rId1678" /><Relationship Type="http://schemas.openxmlformats.org/officeDocument/2006/relationships/hyperlink" Target="https://guiarsanrafael.com.ar/empresa/taller-de-motos-gimenez/" TargetMode="External" Id="rId1679" /><Relationship Type="http://schemas.openxmlformats.org/officeDocument/2006/relationships/hyperlink" Target="https://guiarsanrafael.com.ar/empresa/taller-delamarre/" TargetMode="External" Id="rId1680" /><Relationship Type="http://schemas.openxmlformats.org/officeDocument/2006/relationships/hyperlink" Target="https://guiarsanrafael.com.ar/empresa/taller-integral-del-automotor/" TargetMode="External" Id="rId1681" /><Relationship Type="http://schemas.openxmlformats.org/officeDocument/2006/relationships/hyperlink" Target="https://guiarsanrafael.com.ar/empresa/taller-mecanico-jsr-nm/" TargetMode="External" Id="rId1682" /><Relationship Type="http://schemas.openxmlformats.org/officeDocument/2006/relationships/hyperlink" Target="https://guiarsanrafael.com.ar/empresa/talu-apart-hotel/" TargetMode="External" Id="rId1683" /><Relationship Type="http://schemas.openxmlformats.org/officeDocument/2006/relationships/hyperlink" Target="https://guiarsanrafael.com.ar/empresa/tania-paez/" TargetMode="External" Id="rId1684" /><Relationship Type="http://schemas.openxmlformats.org/officeDocument/2006/relationships/hyperlink" Target="https://guiarsanrafael.com.ar/empresa/tano-motos/" TargetMode="External" Id="rId1685" /><Relationship Type="http://schemas.openxmlformats.org/officeDocument/2006/relationships/hyperlink" Target="https://guiarsanrafael.com.ar/empresa/tapia-leonardo-cesar/" TargetMode="External" Id="rId1686" /><Relationship Type="http://schemas.openxmlformats.org/officeDocument/2006/relationships/hyperlink" Target="https://guiarsanrafael.com.ar/empresa/tapiceria-garcia/" TargetMode="External" Id="rId1687" /><Relationship Type="http://schemas.openxmlformats.org/officeDocument/2006/relationships/hyperlink" Target="https://guiarsanrafael.com.ar/empresa/tarantellisilvina-laura/" TargetMode="External" Id="rId1688" /><Relationship Type="http://schemas.openxmlformats.org/officeDocument/2006/relationships/hyperlink" Target="https://guiarsanrafael.com.ar/empresa/tatangelo-javier-a/" TargetMode="External" Id="rId1689" /><Relationship Type="http://schemas.openxmlformats.org/officeDocument/2006/relationships/hyperlink" Target="https://guiarsanrafael.com.ar/empresa/tauro-gim/" TargetMode="External" Id="rId1690" /><Relationship Type="http://schemas.openxmlformats.org/officeDocument/2006/relationships/hyperlink" Target="https://guiarsanrafael.com.ar/empresa/techos-sur/" TargetMode="External" Id="rId1691" /><Relationship Type="http://schemas.openxmlformats.org/officeDocument/2006/relationships/hyperlink" Target="https://guiarsanrafael.com.ar/empresa/tecnomania-servicio-tecnico/" TargetMode="External" Id="rId1692" /><Relationship Type="http://schemas.openxmlformats.org/officeDocument/2006/relationships/hyperlink" Target="https://guiarsanrafael.com.ar/empresa/telesca-kuzel-gabriela-eliana/" TargetMode="External" Id="rId1693" /><Relationship Type="http://schemas.openxmlformats.org/officeDocument/2006/relationships/hyperlink" Target="https://guiarsanrafael.com.ar/empresa/temple-mercado-saludable/" TargetMode="External" Id="rId1694" /><Relationship Type="http://schemas.openxmlformats.org/officeDocument/2006/relationships/hyperlink" Target="https://guiarsanrafael.com.ar/empresa/terra-entrenamiento-deportivo/" TargetMode="External" Id="rId1695" /><Relationship Type="http://schemas.openxmlformats.org/officeDocument/2006/relationships/hyperlink" Target="https://guiarsanrafael.com.ar/empresa/terracota-muebles-de-diseno/" TargetMode="External" Id="rId1696" /><Relationship Type="http://schemas.openxmlformats.org/officeDocument/2006/relationships/hyperlink" Target="https://guiarsanrafael.com.ar/empresa/terroba-gabriela/" TargetMode="External" Id="rId1697" /><Relationship Type="http://schemas.openxmlformats.org/officeDocument/2006/relationships/hyperlink" Target="https://guiarsanrafael.com.ar/empresa/terruno-licores-vinos/" TargetMode="External" Id="rId1698" /><Relationship Type="http://schemas.openxmlformats.org/officeDocument/2006/relationships/hyperlink" Target="https://guiarsanrafael.com.ar/empresa/tesla-electricidad/" TargetMode="External" Id="rId1699" /><Relationship Type="http://schemas.openxmlformats.org/officeDocument/2006/relationships/hyperlink" Target="https://guiarsanrafael.com.ar/empresa/the-big-barber/" TargetMode="External" Id="rId1700" /><Relationship Type="http://schemas.openxmlformats.org/officeDocument/2006/relationships/hyperlink" Target="https://guiarsanrafael.com.ar/empresa/the-club-restaurante/" TargetMode="External" Id="rId1701" /><Relationship Type="http://schemas.openxmlformats.org/officeDocument/2006/relationships/hyperlink" Target="https://guiarsanrafael.com.ar/empresa/tierra-de-mascotas/" TargetMode="External" Id="rId1702" /><Relationship Type="http://schemas.openxmlformats.org/officeDocument/2006/relationships/hyperlink" Target="https://guiarsanrafael.com.ar/empresa/tierra-mora/" TargetMode="External" Id="rId1703" /><Relationship Type="http://schemas.openxmlformats.org/officeDocument/2006/relationships/hyperlink" Target="https://guiarsanrafael.com.ar/empresa/timax-fotocopiadoras/" TargetMode="External" Id="rId1704" /><Relationship Type="http://schemas.openxmlformats.org/officeDocument/2006/relationships/hyperlink" Target="https://guiarsanrafael.com.ar/empresa/tintoreria-paris/" TargetMode="External" Id="rId1705" /><Relationship Type="http://schemas.openxmlformats.org/officeDocument/2006/relationships/hyperlink" Target="https://guiarsanrafael.com.ar/empresa/todo-chapa/" TargetMode="External" Id="rId1706" /><Relationship Type="http://schemas.openxmlformats.org/officeDocument/2006/relationships/hyperlink" Target="https://guiarsanrafael.com.ar/empresa/todo-obra-hogar-construccion/" TargetMode="External" Id="rId1707" /><Relationship Type="http://schemas.openxmlformats.org/officeDocument/2006/relationships/hyperlink" Target="https://guiarsanrafael.com.ar/empresa/todo-rico-la-casa-de-las-viandas/" TargetMode="External" Id="rId1708" /><Relationship Type="http://schemas.openxmlformats.org/officeDocument/2006/relationships/hyperlink" Target="https://guiarsanrafael.com.ar/empresa/toldos-cuyo-sr/" TargetMode="External" Id="rId1709" /><Relationship Type="http://schemas.openxmlformats.org/officeDocument/2006/relationships/hyperlink" Target="https://guiarsanrafael.com.ar/empresa/toledo-daniela-noemi/" TargetMode="External" Id="rId1710" /><Relationship Type="http://schemas.openxmlformats.org/officeDocument/2006/relationships/hyperlink" Target="https://guiarsanrafael.com.ar/empresa/toledo-electricidad/" TargetMode="External" Id="rId1711" /><Relationship Type="http://schemas.openxmlformats.org/officeDocument/2006/relationships/hyperlink" Target="https://guiarsanrafael.com.ar/empresa/veterinaria-toly/" TargetMode="External" Id="rId1712" /><Relationship Type="http://schemas.openxmlformats.org/officeDocument/2006/relationships/hyperlink" Target="https://guiarsanrafael.com.ar/empresa/torrecilla-maria-belen/" TargetMode="External" Id="rId1713" /><Relationship Type="http://schemas.openxmlformats.org/officeDocument/2006/relationships/hyperlink" Target="https://guiarsanrafael.com.ar/empresa/torrecilla-veronica-del-carmen/" TargetMode="External" Id="rId1714" /><Relationship Type="http://schemas.openxmlformats.org/officeDocument/2006/relationships/hyperlink" Target="https://guiarsanrafael.com.ar/empresa/torres-janet/" TargetMode="External" Id="rId1715" /><Relationship Type="http://schemas.openxmlformats.org/officeDocument/2006/relationships/hyperlink" Target="https://guiarsanrafael.com.ar/empresa/torres-portones-automaticos/" TargetMode="External" Id="rId1716" /><Relationship Type="http://schemas.openxmlformats.org/officeDocument/2006/relationships/hyperlink" Target="https://guiarsanrafael.com.ar/empresa/tower-inn-hotel-suites/" TargetMode="External" Id="rId1717" /><Relationship Type="http://schemas.openxmlformats.org/officeDocument/2006/relationships/hyperlink" Target="https://guiarsanrafael.com.ar/empresa/toyo-servis-automotores/" TargetMode="External" Id="rId1718" /><Relationship Type="http://schemas.openxmlformats.org/officeDocument/2006/relationships/hyperlink" Target="https://guiarsanrafael.com.ar/empresa/tractores-romero/" TargetMode="External" Id="rId1719" /><Relationship Type="http://schemas.openxmlformats.org/officeDocument/2006/relationships/hyperlink" Target="https://guiarsanrafael.com.ar/empresa/transporte-don-lucho/" TargetMode="External" Id="rId1720" /><Relationship Type="http://schemas.openxmlformats.org/officeDocument/2006/relationships/hyperlink" Target="https://guiarsanrafael.com.ar/empresa/tres-budas-productos-para-yoga/" TargetMode="External" Id="rId1721" /><Relationship Type="http://schemas.openxmlformats.org/officeDocument/2006/relationships/hyperlink" Target="https://guiarsanrafael.com.ar/empresa/triac-game/" TargetMode="External" Id="rId1722" /><Relationship Type="http://schemas.openxmlformats.org/officeDocument/2006/relationships/hyperlink" Target="https://guiarsanrafael.com.ar/empresa/trollano-ivan/" TargetMode="External" Id="rId1723" /><Relationship Type="http://schemas.openxmlformats.org/officeDocument/2006/relationships/hyperlink" Target="https://guiarsanrafael.com.ar/empresa/troyano-motors/" TargetMode="External" Id="rId1724" /><Relationship Type="http://schemas.openxmlformats.org/officeDocument/2006/relationships/hyperlink" Target="https://guiarsanrafael.com.ar/empresa/tu-taxi/" TargetMode="External" Id="rId1725" /><Relationship Type="http://schemas.openxmlformats.org/officeDocument/2006/relationships/hyperlink" Target="https://guiarsanrafael.com.ar/empresa/ucasal-san-rafael/" TargetMode="External" Id="rId1726" /><Relationship Type="http://schemas.openxmlformats.org/officeDocument/2006/relationships/hyperlink" Target="https://guiarsanrafael.com.ar/empresa/ufasta-san-rafael/" TargetMode="External" Id="rId1727" /><Relationship Type="http://schemas.openxmlformats.org/officeDocument/2006/relationships/hyperlink" Target="https://guiarsanrafael.com.ar/empresa/unica-salon-de-belleza/" TargetMode="External" Id="rId1728" /><Relationship Type="http://schemas.openxmlformats.org/officeDocument/2006/relationships/hyperlink" Target="https://guiarsanrafael.com.ar/empresa/urbana-medica/" TargetMode="External" Id="rId1729" /><Relationship Type="http://schemas.openxmlformats.org/officeDocument/2006/relationships/hyperlink" Target="https://guiarsanrafael.com.ar/empresa/urbana-medica-2/" TargetMode="External" Id="rId1730" /><Relationship Type="http://schemas.openxmlformats.org/officeDocument/2006/relationships/hyperlink" Target="https://guiarsanrafael.com.ar/empresa/uvas-cosmeticos-tomas-godoy-cruz-60-260-429-3340/" TargetMode="External" Id="rId1731" /><Relationship Type="http://schemas.openxmlformats.org/officeDocument/2006/relationships/hyperlink" Target="https://guiarsanrafael.com.ar/empresa/valdivia-christel-beatriz/" TargetMode="External" Id="rId1732" /><Relationship Type="http://schemas.openxmlformats.org/officeDocument/2006/relationships/hyperlink" Target="https://guiarsanrafael.com.ar/empresa/valenti-equipamientos-4x4/" TargetMode="External" Id="rId1733" /><Relationship Type="http://schemas.openxmlformats.org/officeDocument/2006/relationships/hyperlink" Target="https://guiarsanrafael.com.ar/empresa/6887/" TargetMode="External" Id="rId1734" /><Relationship Type="http://schemas.openxmlformats.org/officeDocument/2006/relationships/hyperlink" Target="https://guiarsanrafael.com.ar/empresa/valentina-lara/" TargetMode="External" Id="rId1735" /><Relationship Type="http://schemas.openxmlformats.org/officeDocument/2006/relationships/hyperlink" Target="https://guiarsanrafael.com.ar/empresa/valentina-marinelli/" TargetMode="External" Id="rId1736" /><Relationship Type="http://schemas.openxmlformats.org/officeDocument/2006/relationships/hyperlink" Target="https://guiarsanrafael.com.ar/empresa/valentina-romaniuk/" TargetMode="External" Id="rId1737" /><Relationship Type="http://schemas.openxmlformats.org/officeDocument/2006/relationships/hyperlink" Target="https://guiarsanrafael.com.ar/empresa/valentin-camerucci/" TargetMode="External" Id="rId1738" /><Relationship Type="http://schemas.openxmlformats.org/officeDocument/2006/relationships/hyperlink" Target="https://guiarsanrafael.com.ar/empresa/valeria-fernandez/" TargetMode="External" Id="rId1739" /><Relationship Type="http://schemas.openxmlformats.org/officeDocument/2006/relationships/hyperlink" Target="https://guiarsanrafael.com.ar/empresa/valeria-ponce-de-leon/" TargetMode="External" Id="rId1740" /><Relationship Type="http://schemas.openxmlformats.org/officeDocument/2006/relationships/hyperlink" Target="https://guiarsanrafael.com.ar/empresa/valeria-sarmiento/" TargetMode="External" Id="rId1741" /><Relationship Type="http://schemas.openxmlformats.org/officeDocument/2006/relationships/hyperlink" Target="https://guiarsanrafael.com.ar/empresa/valeria-sorroche/" TargetMode="External" Id="rId1742" /><Relationship Type="http://schemas.openxmlformats.org/officeDocument/2006/relationships/hyperlink" Target="https://guiarsanrafael.com.ar/empresa/valle-grande-hotel-de-montana-resort-spa/" TargetMode="External" Id="rId1743" /><Relationship Type="http://schemas.openxmlformats.org/officeDocument/2006/relationships/hyperlink" Target="https://guiarsanrafael.com.ar/empresa/7591/" TargetMode="External" Id="rId1744" /><Relationship Type="http://schemas.openxmlformats.org/officeDocument/2006/relationships/hyperlink" Target="https://guiarsanrafael.com.ar/empresa/vanesa-cordero/" TargetMode="External" Id="rId1745" /><Relationship Type="http://schemas.openxmlformats.org/officeDocument/2006/relationships/hyperlink" Target="https://guiarsanrafael.com.ar/empresa/vanesa-coria/" TargetMode="External" Id="rId1746" /><Relationship Type="http://schemas.openxmlformats.org/officeDocument/2006/relationships/hyperlink" Target="https://guiarsanrafael.com.ar/empresa/vanina-chaine/" TargetMode="External" Id="rId1747" /><Relationship Type="http://schemas.openxmlformats.org/officeDocument/2006/relationships/hyperlink" Target="https://guiarsanrafael.com.ar/empresa/vanina-del-carmen-alba/" TargetMode="External" Id="rId1748" /><Relationship Type="http://schemas.openxmlformats.org/officeDocument/2006/relationships/hyperlink" Target="https://guiarsanrafael.com.ar/empresa/vanina-lugea/" TargetMode="External" Id="rId1749" /><Relationship Type="http://schemas.openxmlformats.org/officeDocument/2006/relationships/hyperlink" Target="https://guiarsanrafael.com.ar/empresa/vavala-silvana/" TargetMode="External" Id="rId1750" /><Relationship Type="http://schemas.openxmlformats.org/officeDocument/2006/relationships/hyperlink" Target="https://guiarsanrafael.com.ar/empresa/vc-informatica/" TargetMode="External" Id="rId1751" /><Relationship Type="http://schemas.openxmlformats.org/officeDocument/2006/relationships/hyperlink" Target="https://guiarsanrafael.com.ar/empresa/vecchia-terra-apart-hotel/" TargetMode="External" Id="rId1752" /><Relationship Type="http://schemas.openxmlformats.org/officeDocument/2006/relationships/hyperlink" Target="https://guiarsanrafael.com.ar/empresa/velasco-francisco-alejandro/" TargetMode="External" Id="rId1753" /><Relationship Type="http://schemas.openxmlformats.org/officeDocument/2006/relationships/hyperlink" Target="https://guiarsanrafael.com.ar/empresa/velez-lubricantes-y-repuestos/" TargetMode="External" Id="rId1754" /><Relationship Type="http://schemas.openxmlformats.org/officeDocument/2006/relationships/hyperlink" Target="https://guiarsanrafael.com.ar/empresa/veraerika-johana/" TargetMode="External" Id="rId1755" /><Relationship Type="http://schemas.openxmlformats.org/officeDocument/2006/relationships/hyperlink" Target="https://guiarsanrafael.com.ar/empresa/verduleria-avenida/" TargetMode="External" Id="rId1756" /><Relationship Type="http://schemas.openxmlformats.org/officeDocument/2006/relationships/hyperlink" Target="https://guiarsanrafael.com.ar/empresa/veronica-castan/" TargetMode="External" Id="rId1757" /><Relationship Type="http://schemas.openxmlformats.org/officeDocument/2006/relationships/hyperlink" Target="https://guiarsanrafael.com.ar/empresa/veronica-martinez/" TargetMode="External" Id="rId1758" /><Relationship Type="http://schemas.openxmlformats.org/officeDocument/2006/relationships/hyperlink" Target="https://guiarsanrafael.com.ar/empresa/verterinaria-roca/" TargetMode="External" Id="rId1759" /><Relationship Type="http://schemas.openxmlformats.org/officeDocument/2006/relationships/hyperlink" Target="https://guiarsanrafael.com.ar/empresa/veterinaria-blanche/" TargetMode="External" Id="rId1760" /><Relationship Type="http://schemas.openxmlformats.org/officeDocument/2006/relationships/hyperlink" Target="https://guiarsanrafael.com.ar/empresa/veterinaria-dr-biurrun/" TargetMode="External" Id="rId1761" /><Relationship Type="http://schemas.openxmlformats.org/officeDocument/2006/relationships/hyperlink" Target="https://guiarsanrafael.com.ar/empresa/veterinaria-el-tata-bevans/" TargetMode="External" Id="rId1762" /><Relationship Type="http://schemas.openxmlformats.org/officeDocument/2006/relationships/hyperlink" Target="https://guiarsanrafael.com.ar/empresa/veterinaria-el-trebol/" TargetMode="External" Id="rId1763" /><Relationship Type="http://schemas.openxmlformats.org/officeDocument/2006/relationships/hyperlink" Target="https://guiarsanrafael.com.ar/empresa/veterinaria-gimenez/" TargetMode="External" Id="rId1764" /><Relationship Type="http://schemas.openxmlformats.org/officeDocument/2006/relationships/hyperlink" Target="https://guiarsanrafael.com.ar/empresa/__trashed/" TargetMode="External" Id="rId1765" /><Relationship Type="http://schemas.openxmlformats.org/officeDocument/2006/relationships/hyperlink" Target="https://guiarsanrafael.com.ar/empresa/veterinaria-libertad/" TargetMode="External" Id="rId1766" /><Relationship Type="http://schemas.openxmlformats.org/officeDocument/2006/relationships/hyperlink" Target="https://guiarsanrafael.com.ar/empresa/veterinaria-los-robles/" TargetMode="External" Id="rId1767" /><Relationship Type="http://schemas.openxmlformats.org/officeDocument/2006/relationships/hyperlink" Target="https://guiarsanrafael.com.ar/empresa/14771/" TargetMode="External" Id="rId1768" /><Relationship Type="http://schemas.openxmlformats.org/officeDocument/2006/relationships/hyperlink" Target="https://guiarsanrafael.com.ar/empresa/veterinaria-san-rafael/" TargetMode="External" Id="rId1769" /><Relationship Type="http://schemas.openxmlformats.org/officeDocument/2006/relationships/hyperlink" Target="https://guiarsanrafael.com.ar/empresa/veterinaria-valerdi/" TargetMode="External" Id="rId1770" /><Relationship Type="http://schemas.openxmlformats.org/officeDocument/2006/relationships/hyperlink" Target="https://guiarsanrafael.com.ar/empresa/victor-galera/" TargetMode="External" Id="rId1771" /><Relationship Type="http://schemas.openxmlformats.org/officeDocument/2006/relationships/hyperlink" Target="https://guiarsanrafael.com.ar/empresa/victor-ortega/" TargetMode="External" Id="rId1772" /><Relationship Type="http://schemas.openxmlformats.org/officeDocument/2006/relationships/hyperlink" Target="https://guiarsanrafael.com.ar/empresa/victoria-maria-florencia/" TargetMode="External" Id="rId1773" /><Relationship Type="http://schemas.openxmlformats.org/officeDocument/2006/relationships/hyperlink" Target="https://guiarsanrafael.com.ar/empresa/victoria-pelayes/" TargetMode="External" Id="rId1774" /><Relationship Type="http://schemas.openxmlformats.org/officeDocument/2006/relationships/hyperlink" Target="https://guiarsanrafael.com.ar/empresa/vida-sana/" TargetMode="External" Id="rId1775" /><Relationship Type="http://schemas.openxmlformats.org/officeDocument/2006/relationships/hyperlink" Target="https://guiarsanrafael.com.ar/empresa/vidrieria-rivadavia/" TargetMode="External" Id="rId1776" /><Relationship Type="http://schemas.openxmlformats.org/officeDocument/2006/relationships/hyperlink" Target="https://guiarsanrafael.com.ar/empresa/vignoni-juan-pablo/" TargetMode="External" Id="rId1777" /><Relationship Type="http://schemas.openxmlformats.org/officeDocument/2006/relationships/hyperlink" Target="https://guiarsanrafael.com.ar/empresa/villarta-mariana-del-valle/" TargetMode="External" Id="rId1778" /><Relationship Type="http://schemas.openxmlformats.org/officeDocument/2006/relationships/hyperlink" Target="https://guiarsanrafael.com.ar/empresa/vineria-balloffet/" TargetMode="External" Id="rId1779" /><Relationship Type="http://schemas.openxmlformats.org/officeDocument/2006/relationships/hyperlink" Target="https://guiarsanrafael.com.ar/empresa/virginia-magali-criado-2/" TargetMode="External" Id="rId1780" /><Relationship Type="http://schemas.openxmlformats.org/officeDocument/2006/relationships/hyperlink" Target="https://guiarsanrafael.com.ar/empresa/virginia-magali-criado/" TargetMode="External" Id="rId1781" /><Relationship Type="http://schemas.openxmlformats.org/officeDocument/2006/relationships/hyperlink" Target="https://guiarsanrafael.com.ar/empresa/vision-sur-optica/" TargetMode="External" Id="rId1782" /><Relationship Type="http://schemas.openxmlformats.org/officeDocument/2006/relationships/hyperlink" Target="https://guiarsanrafael.com.ar/empresa/vitalis-salud-integral/" TargetMode="External" Id="rId1783" /><Relationship Type="http://schemas.openxmlformats.org/officeDocument/2006/relationships/hyperlink" Target="https://guiarsanrafael.com.ar/empresa/vivian-petcoff-optica-y-contactologia/" TargetMode="External" Id="rId1784" /><Relationship Type="http://schemas.openxmlformats.org/officeDocument/2006/relationships/hyperlink" Target="https://guiarsanrafael.com.ar/empresa/viviana-carricondo-estilista/" TargetMode="External" Id="rId1785" /><Relationship Type="http://schemas.openxmlformats.org/officeDocument/2006/relationships/hyperlink" Target="https://guiarsanrafael.com.ar/empresa/viviana-sorasio/" TargetMode="External" Id="rId1786" /><Relationship Type="http://schemas.openxmlformats.org/officeDocument/2006/relationships/hyperlink" Target="https://guiarsanrafael.com.ar/empresa/vizcaya-valeria/" TargetMode="External" Id="rId1787" /><Relationship Type="http://schemas.openxmlformats.org/officeDocument/2006/relationships/hyperlink" Target="https://guiarsanrafael.com.ar/empresa/volante-lubricentro/" TargetMode="External" Id="rId1788" /><Relationship Type="http://schemas.openxmlformats.org/officeDocument/2006/relationships/hyperlink" Target="https://guiarsanrafael.com.ar/empresa/vottero-de-mariani-viviana/" TargetMode="External" Id="rId1789" /><Relationship Type="http://schemas.openxmlformats.org/officeDocument/2006/relationships/hyperlink" Target="https://guiarsanrafael.com.ar/empresa/walter-croce/" TargetMode="External" Id="rId1790" /><Relationship Type="http://schemas.openxmlformats.org/officeDocument/2006/relationships/hyperlink" Target="https://guiarsanrafael.com.ar/empresa/wanda-k-gonzalez/" TargetMode="External" Id="rId1791" /><Relationship Type="http://schemas.openxmlformats.org/officeDocument/2006/relationships/hyperlink" Target="https://guiarsanrafael.com.ar/empresa/warnes-2001-multirepuestos/" TargetMode="External" Id="rId1792" /><Relationship Type="http://schemas.openxmlformats.org/officeDocument/2006/relationships/hyperlink" Target="https://guiarsanrafael.com.ar/empresa/wichy-descartables/" TargetMode="External" Id="rId1793" /><Relationship Type="http://schemas.openxmlformats.org/officeDocument/2006/relationships/hyperlink" Target="https://guiarsanrafael.com.ar/empresa/wine-service-san-rafael/" TargetMode="External" Id="rId1794" /><Relationship Type="http://schemas.openxmlformats.org/officeDocument/2006/relationships/hyperlink" Target="https://guiarsanrafael.com.ar/empresa/winter-house/" TargetMode="External" Id="rId1795" /><Relationship Type="http://schemas.openxmlformats.org/officeDocument/2006/relationships/hyperlink" Target="https://guiarsanrafael.com.ar/empresa/xtreme-garage/" TargetMode="External" Id="rId1796" /><Relationship Type="http://schemas.openxmlformats.org/officeDocument/2006/relationships/hyperlink" Target="https://guiarsanrafael.com.ar/empresa/yacante-angel-leandro/" TargetMode="External" Id="rId1797" /><Relationship Type="http://schemas.openxmlformats.org/officeDocument/2006/relationships/hyperlink" Target="https://guiarsanrafael.com.ar/empresa/yair-yasuff/" TargetMode="External" Id="rId1798" /><Relationship Type="http://schemas.openxmlformats.org/officeDocument/2006/relationships/hyperlink" Target="https://guiarsanrafael.com.ar/empresa/yamila-carbonetti/" TargetMode="External" Id="rId1799" /><Relationship Type="http://schemas.openxmlformats.org/officeDocument/2006/relationships/hyperlink" Target="https://guiarsanrafael.com.ar/empresa/yandi-tour-agencia-de-viajes/" TargetMode="External" Id="rId1800" /><Relationship Type="http://schemas.openxmlformats.org/officeDocument/2006/relationships/hyperlink" Target="https://guiarsanrafael.com.ar/empresa/yapur-gomez-naim-kalid/" TargetMode="External" Id="rId1801" /><Relationship Type="http://schemas.openxmlformats.org/officeDocument/2006/relationships/hyperlink" Target="https://guiarsanrafael.com.ar/empresa/yasuff-nadir-rafael/" TargetMode="External" Id="rId1802" /><Relationship Type="http://schemas.openxmlformats.org/officeDocument/2006/relationships/hyperlink" Target="https://guiarsanrafael.com.ar/empresa/yemina-julian/" TargetMode="External" Id="rId1803" /><Relationship Type="http://schemas.openxmlformats.org/officeDocument/2006/relationships/hyperlink" Target="https://guiarsanrafael.com.ar/empresa/yeso-plack-2/" TargetMode="External" Id="rId1804" /><Relationship Type="http://schemas.openxmlformats.org/officeDocument/2006/relationships/hyperlink" Target="https://guiarsanrafael.com.ar/empresa/yeso-plack/" TargetMode="External" Id="rId1805" /><Relationship Type="http://schemas.openxmlformats.org/officeDocument/2006/relationships/hyperlink" Target="https://guiarsanrafael.com.ar/empresa/yoli-quinteros-ordinol/" TargetMode="External" Id="rId1806" /><Relationship Type="http://schemas.openxmlformats.org/officeDocument/2006/relationships/hyperlink" Target="https://guiarsanrafael.com.ar/empresa/yuma-felix/" TargetMode="External" Id="rId1807" /><Relationship Type="http://schemas.openxmlformats.org/officeDocument/2006/relationships/hyperlink" Target="https://guiarsanrafael.com.ar/empresa/zaida-matar-propiedades/" TargetMode="External" Id="rId1808" /><Relationship Type="http://schemas.openxmlformats.org/officeDocument/2006/relationships/hyperlink" Target="https://guiarsanrafael.com.ar/empresa/zavattierimaria-florencia/" TargetMode="External" Id="rId1809" /><Relationship Type="http://schemas.openxmlformats.org/officeDocument/2006/relationships/hyperlink" Target="https://guiarsanrafael.com.ar/empresa/zaazil-vivero-jardineria/" TargetMode="External" Id="rId1810" /><Relationship Type="http://schemas.openxmlformats.org/officeDocument/2006/relationships/hyperlink" Target="https://guiarsanrafael.com.ar/empresa/zhampi-indumentaria/" TargetMode="External" Id="rId1811" /><Relationship Type="http://schemas.openxmlformats.org/officeDocument/2006/relationships/hyperlink" Target="https://guiarsanrafael.com.ar/empresa/zinc-plegados/" TargetMode="External" Id="rId1812" /><Relationship Type="http://schemas.openxmlformats.org/officeDocument/2006/relationships/hyperlink" Target="https://guiarsanrafael.com.ar/empresa/zingarella-regionales/" TargetMode="External" Id="rId1813" /><Relationship Type="http://schemas.openxmlformats.org/officeDocument/2006/relationships/hyperlink" Target="https://guiarsanrafael.com.ar/empresa/zingueria-el-gringo/" TargetMode="External" Id="rId1814" /><Relationship Type="http://schemas.openxmlformats.org/officeDocument/2006/relationships/hyperlink" Target="https://guiarsanrafael.com.ar/empresa/zona-chiky-jugueteria/" TargetMode="External" Id="rId1815" /><Relationship Type="http://schemas.openxmlformats.org/officeDocument/2006/relationships/hyperlink" Target="https://guiarsanrafael.com.ar/empresa/zonazul-gomeria-lavadero/" TargetMode="External" Id="rId1816" /><Relationship Type="http://schemas.openxmlformats.org/officeDocument/2006/relationships/table" Target="/xl/tables/table1.xml" Id="rId1817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L30"/>
  <sheetViews>
    <sheetView showGridLines="0" zoomScale="12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1" t="inlineStr">
        <is>
          <t>Comercios GUIAR San Rafael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2" customHeight="1">
      <c r="A3" s="3" t="inlineStr">
        <is>
          <t>Directorio extraído de guiarsanrafael.com.ar  ·  Búsqueda vacía  ·  Páginas 1 a 183  ·  Actualizado 24 ago 2026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5" ht="18" customHeight="1">
      <c r="A5" s="5" t="inlineStr">
        <is>
          <t>COMERCIOS</t>
        </is>
      </c>
      <c r="B5" s="6" t="n"/>
      <c r="C5" s="5" t="inlineStr">
        <is>
          <t>CATEGORÍAS</t>
        </is>
      </c>
      <c r="D5" s="6" t="n"/>
      <c r="E5" s="5" t="inlineStr">
        <is>
          <t>PÁGINAS</t>
        </is>
      </c>
      <c r="F5" s="6" t="n"/>
      <c r="G5" s="5" t="inlineStr">
        <is>
          <t>NOMBRES ÚNICOS</t>
        </is>
      </c>
      <c r="H5" s="6" t="n"/>
    </row>
    <row r="6" ht="36" customHeight="1">
      <c r="A6" s="7">
        <f>COUNTA(tblComercios[Nombre])</f>
        <v/>
      </c>
      <c r="B6" s="6" t="n"/>
      <c r="C6" s="7">
        <f>COUNTA(tblCategorias[Categoría])</f>
        <v/>
      </c>
      <c r="D6" s="6" t="n"/>
      <c r="E6" s="7">
        <f>MAX(tblComercios[Página])</f>
        <v/>
      </c>
      <c r="F6" s="6" t="n"/>
      <c r="G6" s="7">
        <f>SUMPRODUCT((tblComercios[Nombre]&lt;&gt;"")/COUNTIF(tblComercios[Nombre],tblComercios[Nombre]&amp;""))</f>
        <v/>
      </c>
      <c r="H6" s="6" t="n"/>
    </row>
    <row r="7" ht="18" customHeight="1">
      <c r="A7" s="8" t="inlineStr">
        <is>
          <t>Fichas /empresa/</t>
        </is>
      </c>
      <c r="B7" s="6" t="n"/>
      <c r="C7" s="8" t="inlineStr">
        <is>
          <t>Clasificación GUIAR</t>
        </is>
      </c>
      <c r="D7" s="6" t="n"/>
      <c r="E7" s="8" t="inlineStr">
        <is>
          <t>Paginación del buscador</t>
        </is>
      </c>
      <c r="F7" s="6" t="n"/>
      <c r="G7" s="8" t="inlineStr">
        <is>
          <t>Marcas con sucursales</t>
        </is>
      </c>
      <c r="H7" s="6" t="n"/>
    </row>
    <row r="9" ht="22" customHeight="1">
      <c r="A9" s="9" t="inlineStr">
        <is>
          <t>Top 15 categorías</t>
        </is>
      </c>
      <c r="B9" s="10" t="n"/>
      <c r="C9" s="10" t="n"/>
      <c r="D9" s="10" t="n"/>
      <c r="E9" s="10" t="n"/>
      <c r="F9" s="10" t="n"/>
      <c r="G9" s="10" t="n"/>
      <c r="H9" s="10" t="n"/>
    </row>
    <row r="10">
      <c r="A10" s="11" t="inlineStr">
        <is>
          <t>Categoría</t>
        </is>
      </c>
      <c r="B10" s="11" t="inlineStr">
        <is>
          <t>Cantidad</t>
        </is>
      </c>
    </row>
    <row r="11">
      <c r="A11" s="12">
        <f>IF(Categorias!B2="","",Categorias!B2)</f>
        <v/>
      </c>
      <c r="B11" s="13">
        <f>IF(A11="","",Categorias!C2)</f>
        <v/>
      </c>
    </row>
    <row r="12">
      <c r="A12" s="14">
        <f>IF(Categorias!B3="","",Categorias!B3)</f>
        <v/>
      </c>
      <c r="B12" s="15">
        <f>IF(A12="","",Categorias!C3)</f>
        <v/>
      </c>
    </row>
    <row r="13">
      <c r="A13" s="12">
        <f>IF(Categorias!B4="","",Categorias!B4)</f>
        <v/>
      </c>
      <c r="B13" s="13">
        <f>IF(A13="","",Categorias!C4)</f>
        <v/>
      </c>
    </row>
    <row r="14">
      <c r="A14" s="14">
        <f>IF(Categorias!B5="","",Categorias!B5)</f>
        <v/>
      </c>
      <c r="B14" s="15">
        <f>IF(A14="","",Categorias!C5)</f>
        <v/>
      </c>
    </row>
    <row r="15">
      <c r="A15" s="12">
        <f>IF(Categorias!B6="","",Categorias!B6)</f>
        <v/>
      </c>
      <c r="B15" s="13">
        <f>IF(A15="","",Categorias!C6)</f>
        <v/>
      </c>
    </row>
    <row r="16">
      <c r="A16" s="14">
        <f>IF(Categorias!B7="","",Categorias!B7)</f>
        <v/>
      </c>
      <c r="B16" s="15">
        <f>IF(A16="","",Categorias!C7)</f>
        <v/>
      </c>
    </row>
    <row r="17">
      <c r="A17" s="12">
        <f>IF(Categorias!B8="","",Categorias!B8)</f>
        <v/>
      </c>
      <c r="B17" s="13">
        <f>IF(A17="","",Categorias!C8)</f>
        <v/>
      </c>
    </row>
    <row r="18">
      <c r="A18" s="14">
        <f>IF(Categorias!B9="","",Categorias!B9)</f>
        <v/>
      </c>
      <c r="B18" s="15">
        <f>IF(A18="","",Categorias!C9)</f>
        <v/>
      </c>
    </row>
    <row r="19">
      <c r="A19" s="12">
        <f>IF(Categorias!B10="","",Categorias!B10)</f>
        <v/>
      </c>
      <c r="B19" s="13">
        <f>IF(A19="","",Categorias!C10)</f>
        <v/>
      </c>
    </row>
    <row r="20">
      <c r="A20" s="14">
        <f>IF(Categorias!B11="","",Categorias!B11)</f>
        <v/>
      </c>
      <c r="B20" s="15">
        <f>IF(A20="","",Categorias!C11)</f>
        <v/>
      </c>
    </row>
    <row r="21">
      <c r="A21" s="12">
        <f>IF(Categorias!B12="","",Categorias!B12)</f>
        <v/>
      </c>
      <c r="B21" s="13">
        <f>IF(A21="","",Categorias!C12)</f>
        <v/>
      </c>
    </row>
    <row r="22">
      <c r="A22" s="14">
        <f>IF(Categorias!B13="","",Categorias!B13)</f>
        <v/>
      </c>
      <c r="B22" s="15">
        <f>IF(A22="","",Categorias!C13)</f>
        <v/>
      </c>
    </row>
    <row r="23">
      <c r="A23" s="12">
        <f>IF(Categorias!B14="","",Categorias!B14)</f>
        <v/>
      </c>
      <c r="B23" s="13">
        <f>IF(A23="","",Categorias!C14)</f>
        <v/>
      </c>
    </row>
    <row r="24">
      <c r="A24" s="14">
        <f>IF(Categorias!B15="","",Categorias!B15)</f>
        <v/>
      </c>
      <c r="B24" s="15">
        <f>IF(A24="","",Categorias!C15)</f>
        <v/>
      </c>
    </row>
    <row r="25">
      <c r="A25" s="12">
        <f>IF(Categorias!B16="","",Categorias!B16)</f>
        <v/>
      </c>
      <c r="B25" s="13">
        <f>IF(A25="","",Categorias!C16)</f>
        <v/>
      </c>
    </row>
    <row r="28" ht="18" customHeight="1">
      <c r="A28" s="16" t="inlineStr">
        <is>
          <t>Cómo usarlo: abrí la hoja Comercios y filtrá por categoría, nombre o página. La columna URL abre la ficha original en GUIAR. Los totales de este resumen se calculan con fórmulas sobre las tablas; si agregás o quitás filas, actualizá el rango de la tabla Excel.</t>
        </is>
      </c>
      <c r="B28" s="17" t="n"/>
      <c r="C28" s="17" t="n"/>
      <c r="D28" s="17" t="n"/>
      <c r="E28" s="17" t="n"/>
      <c r="F28" s="17" t="n"/>
      <c r="G28" s="17" t="n"/>
      <c r="H28" s="17" t="n"/>
    </row>
    <row r="29" ht="18" customHeight="1">
      <c r="A29" s="17" t="n"/>
      <c r="B29" s="17" t="n"/>
      <c r="C29" s="17" t="n"/>
      <c r="D29" s="17" t="n"/>
      <c r="E29" s="17" t="n"/>
      <c r="F29" s="17" t="n"/>
      <c r="G29" s="17" t="n"/>
      <c r="H29" s="17" t="n"/>
    </row>
    <row r="30" ht="18" customHeight="1">
      <c r="A30" s="17" t="n"/>
      <c r="B30" s="17" t="n"/>
      <c r="C30" s="17" t="n"/>
      <c r="D30" s="17" t="n"/>
      <c r="E30" s="17" t="n"/>
      <c r="F30" s="17" t="n"/>
      <c r="G30" s="17" t="n"/>
      <c r="H30" s="17" t="n"/>
    </row>
  </sheetData>
  <mergeCells count="16">
    <mergeCell ref="A9:H9"/>
    <mergeCell ref="E6:F6"/>
    <mergeCell ref="C6:D6"/>
    <mergeCell ref="C7:D7"/>
    <mergeCell ref="A7:B7"/>
    <mergeCell ref="G7:H7"/>
    <mergeCell ref="E7:F7"/>
    <mergeCell ref="A28:H30"/>
    <mergeCell ref="C5:D5"/>
    <mergeCell ref="A5:B5"/>
    <mergeCell ref="A1:L2"/>
    <mergeCell ref="E5:F5"/>
    <mergeCell ref="G5:H5"/>
    <mergeCell ref="G6:H6"/>
    <mergeCell ref="A3:L3"/>
    <mergeCell ref="A6:B6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G1817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38" customWidth="1" min="3" max="3"/>
    <col width="28" customWidth="1" min="4" max="4"/>
    <col width="10" customWidth="1" min="5" max="5"/>
    <col width="12" customWidth="1" min="6" max="6"/>
    <col width="58" customWidth="1" min="7" max="7"/>
  </cols>
  <sheetData>
    <row r="1" ht="24" customHeight="1">
      <c r="A1" s="18" t="inlineStr">
        <is>
          <t>N°</t>
        </is>
      </c>
      <c r="B1" s="18" t="inlineStr">
        <is>
          <t>Nombre</t>
        </is>
      </c>
      <c r="C1" s="18" t="inlineStr">
        <is>
          <t>Categoría</t>
        </is>
      </c>
      <c r="D1" s="18" t="inlineStr">
        <is>
          <t>Ubicación</t>
        </is>
      </c>
      <c r="E1" s="18" t="inlineStr">
        <is>
          <t>Página</t>
        </is>
      </c>
      <c r="F1" s="18" t="inlineStr">
        <is>
          <t>ID GUIAR</t>
        </is>
      </c>
      <c r="G1" s="18" t="inlineStr">
        <is>
          <t>URL</t>
        </is>
      </c>
    </row>
    <row r="2">
      <c r="A2" s="19" t="n">
        <v>1</v>
      </c>
      <c r="B2" s="20" t="inlineStr">
        <is>
          <t>4 ESTACIONES REGIONALES</t>
        </is>
      </c>
      <c r="C2" s="14" t="inlineStr">
        <is>
          <t>Artesanias</t>
        </is>
      </c>
      <c r="D2" s="14" t="inlineStr">
        <is>
          <t>Artesanias</t>
        </is>
      </c>
      <c r="E2" s="19" t="n">
        <v>53</v>
      </c>
      <c r="F2" s="19" t="n">
        <v>9269</v>
      </c>
      <c r="G2" s="21" t="inlineStr">
        <is>
          <t>https://guiarsanrafael.com.ar/empresa/4-estaciones-regionales/</t>
        </is>
      </c>
    </row>
    <row r="3">
      <c r="A3" s="22" t="n">
        <v>2</v>
      </c>
      <c r="B3" s="23" t="inlineStr">
        <is>
          <t>A La Flauta</t>
        </is>
      </c>
      <c r="C3" s="12" t="inlineStr">
        <is>
          <t>Panaderias</t>
        </is>
      </c>
      <c r="D3" s="12" t="inlineStr">
        <is>
          <t>Confiteria</t>
        </is>
      </c>
      <c r="E3" s="22" t="n">
        <v>62</v>
      </c>
      <c r="F3" s="22" t="n">
        <v>8677</v>
      </c>
      <c r="G3" s="24" t="inlineStr">
        <is>
          <t>https://guiarsanrafael.com.ar/empresa/a-la-flauta/</t>
        </is>
      </c>
    </row>
    <row r="4">
      <c r="A4" s="19" t="n">
        <v>3</v>
      </c>
      <c r="B4" s="20" t="inlineStr">
        <is>
          <t>A LO CUBANO Barberia</t>
        </is>
      </c>
      <c r="C4" s="14" t="inlineStr">
        <is>
          <t>Barberias peluqueria barberos</t>
        </is>
      </c>
      <c r="D4" s="14" t="inlineStr">
        <is>
          <t>Barberias</t>
        </is>
      </c>
      <c r="E4" s="19" t="n">
        <v>43</v>
      </c>
      <c r="F4" s="19" t="n">
        <v>9695</v>
      </c>
      <c r="G4" s="21" t="inlineStr">
        <is>
          <t>https://guiarsanrafael.com.ar/empresa/a-lo-cubano-barberia/</t>
        </is>
      </c>
    </row>
    <row r="5">
      <c r="A5" s="22" t="n">
        <v>4</v>
      </c>
      <c r="B5" s="23" t="inlineStr">
        <is>
          <t>Abbona Barcudi  Laboratorio</t>
        </is>
      </c>
      <c r="C5" s="12" t="inlineStr">
        <is>
          <t>Bioquimicos laboratorio</t>
        </is>
      </c>
      <c r="D5" s="12" t="inlineStr">
        <is>
          <t>Bioquimicos</t>
        </is>
      </c>
      <c r="E5" s="22" t="n">
        <v>43</v>
      </c>
      <c r="F5" s="22" t="n">
        <v>9779</v>
      </c>
      <c r="G5" s="24" t="inlineStr">
        <is>
          <t>https://guiarsanrafael.com.ar/empresa/abbona-barcudi-laboratorio/</t>
        </is>
      </c>
    </row>
    <row r="6">
      <c r="A6" s="19" t="n">
        <v>5</v>
      </c>
      <c r="B6" s="20" t="inlineStr">
        <is>
          <t>ABERTURAS EMILIO</t>
        </is>
      </c>
      <c r="C6" s="14" t="inlineStr">
        <is>
          <t>Aberturas</t>
        </is>
      </c>
      <c r="D6" s="14" t="inlineStr">
        <is>
          <t>Aberturas</t>
        </is>
      </c>
      <c r="E6" s="19" t="n">
        <v>171</v>
      </c>
      <c r="F6" s="19" t="n">
        <v>4320</v>
      </c>
      <c r="G6" s="21" t="inlineStr">
        <is>
          <t>https://guiarsanrafael.com.ar/empresa/aberturas-emilio/</t>
        </is>
      </c>
    </row>
    <row r="7">
      <c r="A7" s="22" t="n">
        <v>6</v>
      </c>
      <c r="B7" s="23" t="inlineStr">
        <is>
          <t>ABSOLUT FITNESS GIM</t>
        </is>
      </c>
      <c r="C7" s="12" t="inlineStr">
        <is>
          <t>Gimnasios gym</t>
        </is>
      </c>
      <c r="D7" s="12" t="inlineStr">
        <is>
          <t>Gimnasios</t>
        </is>
      </c>
      <c r="E7" s="22" t="n">
        <v>22</v>
      </c>
      <c r="F7" s="22" t="n">
        <v>11980</v>
      </c>
      <c r="G7" s="24" t="inlineStr">
        <is>
          <t>https://guiarsanrafael.com.ar/empresa/absolut-fitness-gim/</t>
        </is>
      </c>
    </row>
    <row r="8">
      <c r="A8" s="19" t="n">
        <v>7</v>
      </c>
      <c r="B8" s="20" t="inlineStr">
        <is>
          <t>ACEROS DEFER S.A.</t>
        </is>
      </c>
      <c r="C8" s="14" t="inlineStr">
        <is>
          <t>Ferreteria industrial</t>
        </is>
      </c>
      <c r="D8" s="14" t="inlineStr">
        <is>
          <t>Buloneras</t>
        </is>
      </c>
      <c r="E8" s="19" t="n">
        <v>66</v>
      </c>
      <c r="F8" s="19" t="n">
        <v>8550</v>
      </c>
      <c r="G8" s="21" t="inlineStr">
        <is>
          <t>https://guiarsanrafael.com.ar/empresa/aceros-defer-s-a/</t>
        </is>
      </c>
    </row>
    <row r="9">
      <c r="A9" s="22" t="n">
        <v>8</v>
      </c>
      <c r="B9" s="23" t="inlineStr">
        <is>
          <t>Aconcagua Repuestos</t>
        </is>
      </c>
      <c r="C9" s="12" t="inlineStr">
        <is>
          <t>Repuestos del automotor autopartes</t>
        </is>
      </c>
      <c r="D9" s="12" t="inlineStr">
        <is>
          <t>Autopartes</t>
        </is>
      </c>
      <c r="E9" s="22" t="n">
        <v>73</v>
      </c>
      <c r="F9" s="22" t="n">
        <v>8430</v>
      </c>
      <c r="G9" s="24" t="inlineStr">
        <is>
          <t>https://guiarsanrafael.com.ar/empresa/aconcagua-repuestos/</t>
        </is>
      </c>
    </row>
    <row r="10">
      <c r="A10" s="19" t="n">
        <v>9</v>
      </c>
      <c r="B10" s="20" t="inlineStr">
        <is>
          <t>ACOSTA Vidrios</t>
        </is>
      </c>
      <c r="C10" s="14" t="inlineStr">
        <is>
          <t>Cristaleria vidrios</t>
        </is>
      </c>
      <c r="D10" s="14" t="inlineStr">
        <is>
          <t>Cristalerias</t>
        </is>
      </c>
      <c r="E10" s="19" t="n">
        <v>68</v>
      </c>
      <c r="F10" s="19" t="n">
        <v>8489</v>
      </c>
      <c r="G10" s="21" t="inlineStr">
        <is>
          <t>https://guiarsanrafael.com.ar/empresa/acosta-vidrios/</t>
        </is>
      </c>
    </row>
    <row r="11">
      <c r="A11" s="22" t="n">
        <v>10</v>
      </c>
      <c r="B11" s="23" t="inlineStr">
        <is>
          <t>Acumuladores Mario Stilo</t>
        </is>
      </c>
      <c r="C11" s="12" t="inlineStr">
        <is>
          <t>Baterias</t>
        </is>
      </c>
      <c r="D11" s="12" t="inlineStr">
        <is>
          <t>Baterias</t>
        </is>
      </c>
      <c r="E11" s="22" t="n">
        <v>55</v>
      </c>
      <c r="F11" s="22" t="n">
        <v>9217</v>
      </c>
      <c r="G11" s="24" t="inlineStr">
        <is>
          <t>https://guiarsanrafael.com.ar/empresa/acumuladores-mario-stilo/</t>
        </is>
      </c>
    </row>
    <row r="12">
      <c r="A12" s="19" t="n">
        <v>11</v>
      </c>
      <c r="B12" s="20" t="inlineStr">
        <is>
          <t>ACUÑA Romina</t>
        </is>
      </c>
      <c r="C12" s="14" t="inlineStr">
        <is>
          <t>Escribanias escribanos escribanas mandatario mandataria notarios notarias</t>
        </is>
      </c>
      <c r="D12" s="14" t="inlineStr">
        <is>
          <t>Escribanas</t>
        </is>
      </c>
      <c r="E12" s="19" t="n">
        <v>87</v>
      </c>
      <c r="F12" s="19" t="n">
        <v>8139</v>
      </c>
      <c r="G12" s="21" t="inlineStr">
        <is>
          <t>https://guiarsanrafael.com.ar/empresa/acuna-romina/</t>
        </is>
      </c>
    </row>
    <row r="13">
      <c r="A13" s="22" t="n">
        <v>12</v>
      </c>
      <c r="B13" s="23" t="inlineStr">
        <is>
          <t>ADDICTIVE GIM</t>
        </is>
      </c>
      <c r="C13" s="12" t="inlineStr">
        <is>
          <t>Gimnasios gym</t>
        </is>
      </c>
      <c r="D13" s="12" t="inlineStr">
        <is>
          <t>Gimnasios</t>
        </is>
      </c>
      <c r="E13" s="22" t="n">
        <v>162</v>
      </c>
      <c r="F13" s="22" t="n">
        <v>5138</v>
      </c>
      <c r="G13" s="24" t="inlineStr">
        <is>
          <t>https://guiarsanrafael.com.ar/empresa/addictive-gtm/</t>
        </is>
      </c>
    </row>
    <row r="14">
      <c r="A14" s="19" t="n">
        <v>13</v>
      </c>
      <c r="B14" s="20" t="inlineStr">
        <is>
          <t>ADOLFO Agro Veterinaria</t>
        </is>
      </c>
      <c r="C14" s="14" t="inlineStr">
        <is>
          <t>Agroveterinaria</t>
        </is>
      </c>
      <c r="D14" s="14" t="inlineStr">
        <is>
          <t>Agroveterinarias</t>
        </is>
      </c>
      <c r="E14" s="19" t="n">
        <v>14</v>
      </c>
      <c r="F14" s="19" t="n">
        <v>12856</v>
      </c>
      <c r="G14" s="21" t="inlineStr">
        <is>
          <t>https://guiarsanrafael.com.ar/empresa/adolfo-agro-veterinaria/</t>
        </is>
      </c>
    </row>
    <row r="15">
      <c r="A15" s="22" t="n">
        <v>14</v>
      </c>
      <c r="B15" s="23" t="inlineStr">
        <is>
          <t>ADRIAN ARANO</t>
        </is>
      </c>
      <c r="C15" s="12" t="inlineStr">
        <is>
          <t>Auxiliar en kinesiologia</t>
        </is>
      </c>
      <c r="D15" s="12" t="inlineStr">
        <is>
          <t>Masoterapeuta</t>
        </is>
      </c>
      <c r="E15" s="22" t="n">
        <v>130</v>
      </c>
      <c r="F15" s="22" t="n">
        <v>6372</v>
      </c>
      <c r="G15" s="24" t="inlineStr">
        <is>
          <t>https://guiarsanrafael.com.ar/empresa/adrian-arano/</t>
        </is>
      </c>
    </row>
    <row r="16">
      <c r="A16" s="19" t="n">
        <v>15</v>
      </c>
      <c r="B16" s="20" t="inlineStr">
        <is>
          <t>ADRIAN GIMENEZ</t>
        </is>
      </c>
      <c r="C16" s="14" t="inlineStr">
        <is>
          <t>Abogados abogadas estudios juridicos</t>
        </is>
      </c>
      <c r="D16" s="14" t="inlineStr">
        <is>
          <t>Abogados</t>
        </is>
      </c>
      <c r="E16" s="19" t="n">
        <v>122</v>
      </c>
      <c r="F16" s="19" t="n">
        <v>6958</v>
      </c>
      <c r="G16" s="21" t="inlineStr">
        <is>
          <t>https://guiarsanrafael.com.ar/empresa/adrian-gimenez/</t>
        </is>
      </c>
    </row>
    <row r="17">
      <c r="A17" s="22" t="n">
        <v>16</v>
      </c>
      <c r="B17" s="23" t="inlineStr">
        <is>
          <t>Adrian Poblete</t>
        </is>
      </c>
      <c r="C17" s="12" t="inlineStr">
        <is>
          <t>Odontologia</t>
        </is>
      </c>
      <c r="D17" s="12" t="inlineStr">
        <is>
          <t>Odontologia</t>
        </is>
      </c>
      <c r="E17" s="22" t="n">
        <v>100</v>
      </c>
      <c r="F17" s="22" t="n">
        <v>7458</v>
      </c>
      <c r="G17" s="24" t="inlineStr">
        <is>
          <t>https://guiarsanrafael.com.ar/empresa/adrian-poblete/</t>
        </is>
      </c>
    </row>
    <row r="18">
      <c r="A18" s="19" t="n">
        <v>17</v>
      </c>
      <c r="B18" s="20" t="inlineStr">
        <is>
          <t>Adriana Carmona</t>
        </is>
      </c>
      <c r="C18" s="14" t="inlineStr">
        <is>
          <t>Odontologia</t>
        </is>
      </c>
      <c r="D18" s="14" t="inlineStr">
        <is>
          <t>Odontologia</t>
        </is>
      </c>
      <c r="E18" s="19" t="n">
        <v>104</v>
      </c>
      <c r="F18" s="19" t="n">
        <v>7369</v>
      </c>
      <c r="G18" s="21" t="inlineStr">
        <is>
          <t>https://guiarsanrafael.com.ar/empresa/adriana-carmona/</t>
        </is>
      </c>
    </row>
    <row r="19">
      <c r="A19" s="22" t="n">
        <v>18</v>
      </c>
      <c r="B19" s="23" t="inlineStr">
        <is>
          <t>Adriana Casado</t>
        </is>
      </c>
      <c r="C19" s="12" t="inlineStr">
        <is>
          <t>Odontologia</t>
        </is>
      </c>
      <c r="D19" s="12" t="inlineStr">
        <is>
          <t>Odontologia</t>
        </is>
      </c>
      <c r="E19" s="22" t="n">
        <v>104</v>
      </c>
      <c r="F19" s="22" t="n">
        <v>7370</v>
      </c>
      <c r="G19" s="24" t="inlineStr">
        <is>
          <t>https://guiarsanrafael.com.ar/empresa/adriana-casado/</t>
        </is>
      </c>
    </row>
    <row r="20">
      <c r="A20" s="19" t="n">
        <v>19</v>
      </c>
      <c r="B20" s="20" t="inlineStr">
        <is>
          <t>Adriana Cortez</t>
        </is>
      </c>
      <c r="C20" s="14" t="inlineStr">
        <is>
          <t>Clinica medica</t>
        </is>
      </c>
      <c r="D20" s="14" t="inlineStr">
        <is>
          <t>Clinica medica</t>
        </is>
      </c>
      <c r="E20" s="19" t="n">
        <v>160</v>
      </c>
      <c r="F20" s="19" t="n">
        <v>5280</v>
      </c>
      <c r="G20" s="21" t="inlineStr">
        <is>
          <t>https://guiarsanrafael.com.ar/empresa/adriana-cortez/</t>
        </is>
      </c>
    </row>
    <row r="21">
      <c r="A21" s="22" t="n">
        <v>20</v>
      </c>
      <c r="B21" s="23" t="inlineStr">
        <is>
          <t>ADRIANA GAMBARO</t>
        </is>
      </c>
      <c r="C21" s="12" t="inlineStr">
        <is>
          <t>Odontologia</t>
        </is>
      </c>
      <c r="D21" s="12" t="inlineStr">
        <is>
          <t>Odontologia</t>
        </is>
      </c>
      <c r="E21" s="22" t="n">
        <v>126</v>
      </c>
      <c r="F21" s="22" t="n">
        <v>6631</v>
      </c>
      <c r="G21" s="24" t="inlineStr">
        <is>
          <t>https://guiarsanrafael.com.ar/empresa/adriana-gambaro/</t>
        </is>
      </c>
    </row>
    <row r="22">
      <c r="A22" s="19" t="n">
        <v>21</v>
      </c>
      <c r="B22" s="20" t="inlineStr">
        <is>
          <t>AG Cremaciones de Mascotas</t>
        </is>
      </c>
      <c r="C22" s="14" t="inlineStr">
        <is>
          <t>Cremaciones salas velatorias</t>
        </is>
      </c>
      <c r="D22" s="14" t="inlineStr">
        <is>
          <t>Cremaciones sala velatorias</t>
        </is>
      </c>
      <c r="E22" s="19" t="n">
        <v>41</v>
      </c>
      <c r="F22" s="19" t="n">
        <v>9944</v>
      </c>
      <c r="G22" s="21" t="inlineStr">
        <is>
          <t>https://guiarsanrafael.com.ar/empresa/ag-cremaciones-de-mascotas/</t>
        </is>
      </c>
    </row>
    <row r="23">
      <c r="A23" s="22" t="n">
        <v>22</v>
      </c>
      <c r="B23" s="23" t="inlineStr">
        <is>
          <t>AGRIQUÍMICA SANAGRO</t>
        </is>
      </c>
      <c r="C23" s="12" t="inlineStr">
        <is>
          <t>Agroquimicos</t>
        </is>
      </c>
      <c r="D23" s="12" t="inlineStr">
        <is>
          <t>Agroquimicos</t>
        </is>
      </c>
      <c r="E23" s="22" t="n">
        <v>24</v>
      </c>
      <c r="F23" s="22" t="n">
        <v>11831</v>
      </c>
      <c r="G23" s="24" t="inlineStr">
        <is>
          <t>https://guiarsanrafael.com.ar/empresa/sanagro-srl-agroquimica/</t>
        </is>
      </c>
    </row>
    <row r="24">
      <c r="A24" s="19" t="n">
        <v>23</v>
      </c>
      <c r="B24" s="20" t="inlineStr">
        <is>
          <t>Agro Giambenedetti</t>
        </is>
      </c>
      <c r="C24" s="14" t="inlineStr">
        <is>
          <t>Maquinarias agricolas</t>
        </is>
      </c>
      <c r="D24" s="14" t="inlineStr">
        <is>
          <t>Insumos agricolas</t>
        </is>
      </c>
      <c r="E24" s="19" t="n">
        <v>70</v>
      </c>
      <c r="F24" s="19" t="n">
        <v>8477</v>
      </c>
      <c r="G24" s="21" t="inlineStr">
        <is>
          <t>https://guiarsanrafael.com.ar/empresa/agro-giambenedetti/</t>
        </is>
      </c>
    </row>
    <row r="25">
      <c r="A25" s="22" t="n">
        <v>24</v>
      </c>
      <c r="B25" s="23" t="inlineStr">
        <is>
          <t>AGRO INSUMOS GONZALO</t>
        </is>
      </c>
      <c r="C25" s="12" t="inlineStr">
        <is>
          <t>Agroquimicos</t>
        </is>
      </c>
      <c r="D25" s="12" t="inlineStr">
        <is>
          <t>Agroquimicos</t>
        </is>
      </c>
      <c r="E25" s="22" t="n">
        <v>180</v>
      </c>
      <c r="F25" s="22" t="n">
        <v>3886</v>
      </c>
      <c r="G25" s="24" t="inlineStr">
        <is>
          <t>https://guiarsanrafael.com.ar/empresa/agro-insumos-gonzalo/</t>
        </is>
      </c>
    </row>
    <row r="26">
      <c r="A26" s="19" t="n">
        <v>25</v>
      </c>
      <c r="B26" s="20" t="inlineStr">
        <is>
          <t>Agroveterinaria La Tranquera</t>
        </is>
      </c>
      <c r="C26" s="14" t="inlineStr">
        <is>
          <t>Agroveterinaria</t>
        </is>
      </c>
      <c r="D26" s="14" t="inlineStr">
        <is>
          <t>Agroveterinarias</t>
        </is>
      </c>
      <c r="E26" s="19" t="n">
        <v>44</v>
      </c>
      <c r="F26" s="19" t="n">
        <v>9668</v>
      </c>
      <c r="G26" s="21" t="inlineStr">
        <is>
          <t>https://guiarsanrafael.com.ar/empresa/9668/</t>
        </is>
      </c>
    </row>
    <row r="27">
      <c r="A27" s="22" t="n">
        <v>26</v>
      </c>
      <c r="B27" s="23" t="inlineStr">
        <is>
          <t>Agroveterinaria Mitre</t>
        </is>
      </c>
      <c r="C27" s="12" t="inlineStr">
        <is>
          <t>Agroveterinaria</t>
        </is>
      </c>
      <c r="D27" s="12" t="inlineStr">
        <is>
          <t>Agroveterinarias</t>
        </is>
      </c>
      <c r="E27" s="22" t="n">
        <v>44</v>
      </c>
      <c r="F27" s="22" t="n">
        <v>9655</v>
      </c>
      <c r="G27" s="24" t="inlineStr">
        <is>
          <t>https://guiarsanrafael.com.ar/empresa/__trashed-5/</t>
        </is>
      </c>
    </row>
    <row r="28">
      <c r="A28" s="19" t="n">
        <v>27</v>
      </c>
      <c r="B28" s="20" t="inlineStr">
        <is>
          <t>Aguilera María de los A.</t>
        </is>
      </c>
      <c r="C28" s="14" t="inlineStr">
        <is>
          <t>Abogados abogadas estudios juridicos</t>
        </is>
      </c>
      <c r="D28" s="14" t="inlineStr">
        <is>
          <t>Abogadas</t>
        </is>
      </c>
      <c r="E28" s="19" t="n">
        <v>116</v>
      </c>
      <c r="F28" s="19" t="n">
        <v>7153</v>
      </c>
      <c r="G28" s="21" t="inlineStr">
        <is>
          <t>https://guiarsanrafael.com.ar/empresa/aguilera-maria-de-los-a/</t>
        </is>
      </c>
    </row>
    <row r="29">
      <c r="A29" s="22" t="n">
        <v>28</v>
      </c>
      <c r="B29" s="23" t="inlineStr">
        <is>
          <t>AGUSTIN OLIVARES</t>
        </is>
      </c>
      <c r="C29" s="12" t="inlineStr">
        <is>
          <t>Kinesiologia y fisioterapia</t>
        </is>
      </c>
      <c r="D29" s="12" t="inlineStr">
        <is>
          <t>Kinesiologia y fisioterapia</t>
        </is>
      </c>
      <c r="E29" s="22" t="n">
        <v>16</v>
      </c>
      <c r="F29" s="22" t="n">
        <v>12634</v>
      </c>
      <c r="G29" s="24" t="inlineStr">
        <is>
          <t>https://guiarsanrafael.com.ar/empresa/agustin-olivares/</t>
        </is>
      </c>
    </row>
    <row r="30">
      <c r="A30" s="19" t="n">
        <v>29</v>
      </c>
      <c r="B30" s="20" t="inlineStr">
        <is>
          <t>Agustina del Valle Fernández</t>
        </is>
      </c>
      <c r="C30" s="14" t="inlineStr">
        <is>
          <t>Odontologia</t>
        </is>
      </c>
      <c r="D30" s="14" t="inlineStr">
        <is>
          <t>Odontologia</t>
        </is>
      </c>
      <c r="E30" s="19" t="n">
        <v>103</v>
      </c>
      <c r="F30" s="19" t="n">
        <v>7380</v>
      </c>
      <c r="G30" s="21" t="inlineStr">
        <is>
          <t>https://guiarsanrafael.com.ar/empresa/agustina-del-valle-fernandez/</t>
        </is>
      </c>
    </row>
    <row r="31">
      <c r="A31" s="22" t="n">
        <v>30</v>
      </c>
      <c r="B31" s="23" t="inlineStr">
        <is>
          <t>Agustina Godoy</t>
        </is>
      </c>
      <c r="C31" s="12" t="inlineStr">
        <is>
          <t>Kinesiologia y fisioterapia</t>
        </is>
      </c>
      <c r="D31" s="12" t="inlineStr">
        <is>
          <t>Kinesiologia y fisioterapia</t>
        </is>
      </c>
      <c r="E31" s="22" t="n">
        <v>152</v>
      </c>
      <c r="F31" s="22" t="n">
        <v>5390</v>
      </c>
      <c r="G31" s="24" t="inlineStr">
        <is>
          <t>https://guiarsanrafael.com.ar/empresa/agustina-godoy/</t>
        </is>
      </c>
    </row>
    <row r="32">
      <c r="A32" s="19" t="n">
        <v>31</v>
      </c>
      <c r="B32" s="20" t="inlineStr">
        <is>
          <t>AIRE Atención Respiratoria Integral</t>
        </is>
      </c>
      <c r="C32" s="14" t="inlineStr">
        <is>
          <t>Centro de rehabilitacion</t>
        </is>
      </c>
      <c r="D32" s="14" t="inlineStr">
        <is>
          <t>Centro de rehabilitacion</t>
        </is>
      </c>
      <c r="E32" s="19" t="n">
        <v>6</v>
      </c>
      <c r="F32" s="19" t="n">
        <v>14341</v>
      </c>
      <c r="G32" s="21" t="inlineStr">
        <is>
          <t>https://guiarsanrafael.com.ar/empresa/aire-atencion-respiratoria-integral/</t>
        </is>
      </c>
    </row>
    <row r="33">
      <c r="A33" s="22" t="n">
        <v>32</v>
      </c>
      <c r="B33" s="23" t="inlineStr">
        <is>
          <t>Al Antojo del Cocinero</t>
        </is>
      </c>
      <c r="C33" s="12" t="inlineStr">
        <is>
          <t>Restaurantes parrilas</t>
        </is>
      </c>
      <c r="D33" s="12" t="inlineStr">
        <is>
          <t>Restaurantes</t>
        </is>
      </c>
      <c r="E33" s="22" t="n">
        <v>36</v>
      </c>
      <c r="F33" s="22" t="n">
        <v>10269</v>
      </c>
      <c r="G33" s="24" t="inlineStr">
        <is>
          <t>https://guiarsanrafael.com.ar/empresa/al-antojo-del-cocinero/</t>
        </is>
      </c>
    </row>
    <row r="34">
      <c r="A34" s="19" t="n">
        <v>33</v>
      </c>
      <c r="B34" s="20" t="inlineStr">
        <is>
          <t>AL BUEN DORMIR</t>
        </is>
      </c>
      <c r="C34" s="14" t="inlineStr">
        <is>
          <t>Blanco colchones sabanas tuallones</t>
        </is>
      </c>
      <c r="D34" s="14" t="inlineStr">
        <is>
          <t>Blanco</t>
        </is>
      </c>
      <c r="E34" s="19" t="n">
        <v>170</v>
      </c>
      <c r="F34" s="19" t="n">
        <v>4496</v>
      </c>
      <c r="G34" s="21" t="inlineStr">
        <is>
          <t>https://guiarsanrafael.com.ar/empresa/al-buen-dormir/</t>
        </is>
      </c>
    </row>
    <row r="35">
      <c r="A35" s="22" t="n">
        <v>34</v>
      </c>
      <c r="B35" s="23" t="inlineStr">
        <is>
          <t>AL DENTE Pastas</t>
        </is>
      </c>
      <c r="C35" s="12" t="inlineStr">
        <is>
          <t>Casa de comidas rotiseria viandas</t>
        </is>
      </c>
      <c r="D35" s="12" t="inlineStr">
        <is>
          <t>Fabrica de pastas</t>
        </is>
      </c>
      <c r="E35" s="22" t="n">
        <v>161</v>
      </c>
      <c r="F35" s="22" t="n">
        <v>5206</v>
      </c>
      <c r="G35" s="24" t="inlineStr">
        <is>
          <t>https://guiarsanrafael.com.ar/empresa/al-dente-pastas/</t>
        </is>
      </c>
    </row>
    <row r="36">
      <c r="A36" s="19" t="n">
        <v>35</v>
      </c>
      <c r="B36" s="20" t="inlineStr">
        <is>
          <t>ALBERO Antonio Hector</t>
        </is>
      </c>
      <c r="C36" s="14" t="inlineStr">
        <is>
          <t>Escribanias escribanos escribanas mandatario mandataria notarios notarias</t>
        </is>
      </c>
      <c r="D36" s="14" t="inlineStr">
        <is>
          <t>Escribanias</t>
        </is>
      </c>
      <c r="E36" s="19" t="n">
        <v>87</v>
      </c>
      <c r="F36" s="19" t="n">
        <v>8143</v>
      </c>
      <c r="G36" s="21" t="inlineStr">
        <is>
          <t>https://guiarsanrafael.com.ar/empresa/albero-antonio-hector/</t>
        </is>
      </c>
    </row>
    <row r="37">
      <c r="A37" s="22" t="n">
        <v>36</v>
      </c>
      <c r="B37" s="23" t="inlineStr">
        <is>
          <t>Alberto Eztala</t>
        </is>
      </c>
      <c r="C37" s="12" t="inlineStr">
        <is>
          <t>Diagnostico por imagenes ecografia mamografias</t>
        </is>
      </c>
      <c r="D37" s="12" t="inlineStr">
        <is>
          <t>Diagnostico por imagenes</t>
        </is>
      </c>
      <c r="E37" s="22" t="n">
        <v>158</v>
      </c>
      <c r="F37" s="22" t="n">
        <v>5297</v>
      </c>
      <c r="G37" s="24" t="inlineStr">
        <is>
          <t>https://guiarsanrafael.com.ar/empresa/alberto-eztala/</t>
        </is>
      </c>
    </row>
    <row r="38">
      <c r="A38" s="19" t="n">
        <v>37</v>
      </c>
      <c r="B38" s="20" t="inlineStr">
        <is>
          <t>Alberto Nadim Yunes Laboratorio</t>
        </is>
      </c>
      <c r="C38" s="14" t="inlineStr">
        <is>
          <t>Bioquimicos laboratorio</t>
        </is>
      </c>
      <c r="D38" s="14" t="inlineStr">
        <is>
          <t>Bioquimicos</t>
        </is>
      </c>
      <c r="E38" s="19" t="n">
        <v>43</v>
      </c>
      <c r="F38" s="19" t="n">
        <v>9783</v>
      </c>
      <c r="G38" s="21" t="inlineStr">
        <is>
          <t>https://guiarsanrafael.com.ar/empresa/alberto-nadim-yunes-laboratorio/</t>
        </is>
      </c>
    </row>
    <row r="39">
      <c r="A39" s="22" t="n">
        <v>38</v>
      </c>
      <c r="B39" s="23" t="inlineStr">
        <is>
          <t>Alcaya Sánchez Laura Estela</t>
        </is>
      </c>
      <c r="C39" s="12" t="inlineStr">
        <is>
          <t>Abogados abogadas estudios juridicos</t>
        </is>
      </c>
      <c r="D39" s="12" t="inlineStr">
        <is>
          <t>Abogadas</t>
        </is>
      </c>
      <c r="E39" s="22" t="n">
        <v>111</v>
      </c>
      <c r="F39" s="22" t="n">
        <v>7206</v>
      </c>
      <c r="G39" s="24" t="inlineStr">
        <is>
          <t>https://guiarsanrafael.com.ar/empresa/alcaya-sanchez-laura-estela/</t>
        </is>
      </c>
    </row>
    <row r="40">
      <c r="A40" s="19" t="n">
        <v>39</v>
      </c>
      <c r="B40" s="20" t="inlineStr">
        <is>
          <t>ALDO BOROVINA</t>
        </is>
      </c>
      <c r="C40" s="14" t="inlineStr">
        <is>
          <t>Cardiologia medico cardiologo</t>
        </is>
      </c>
      <c r="D40" s="14" t="inlineStr">
        <is>
          <t>Cardiologia</t>
        </is>
      </c>
      <c r="E40" s="19" t="n">
        <v>124</v>
      </c>
      <c r="F40" s="19" t="n">
        <v>6753</v>
      </c>
      <c r="G40" s="21" t="inlineStr">
        <is>
          <t>https://guiarsanrafael.com.ar/empresa/aldo-borovina/</t>
        </is>
      </c>
    </row>
    <row r="41">
      <c r="A41" s="22" t="n">
        <v>40</v>
      </c>
      <c r="B41" s="23" t="inlineStr">
        <is>
          <t>ALE PESCA</t>
        </is>
      </c>
      <c r="C41" s="12" t="inlineStr">
        <is>
          <t>Articulos de camping</t>
        </is>
      </c>
      <c r="D41" s="12" t="inlineStr">
        <is>
          <t>Articulos de camping</t>
        </is>
      </c>
      <c r="E41" s="22" t="n">
        <v>29</v>
      </c>
      <c r="F41" s="22" t="n">
        <v>11197</v>
      </c>
      <c r="G41" s="24" t="inlineStr">
        <is>
          <t>https://guiarsanrafael.com.ar/empresa/ale-pesca/</t>
        </is>
      </c>
    </row>
    <row r="42">
      <c r="A42" s="19" t="n">
        <v>41</v>
      </c>
      <c r="B42" s="20" t="inlineStr">
        <is>
          <t>ALEJANDRA ATENCIO</t>
        </is>
      </c>
      <c r="C42" s="14" t="inlineStr">
        <is>
          <t>Dermatologia</t>
        </is>
      </c>
      <c r="D42" s="14" t="inlineStr">
        <is>
          <t>Dermatologia</t>
        </is>
      </c>
      <c r="E42" s="19" t="n">
        <v>120</v>
      </c>
      <c r="F42" s="19" t="n">
        <v>7058</v>
      </c>
      <c r="G42" s="21" t="inlineStr">
        <is>
          <t>https://guiarsanrafael.com.ar/empresa/alejandra-atencio/</t>
        </is>
      </c>
    </row>
    <row r="43">
      <c r="A43" s="22" t="n">
        <v>42</v>
      </c>
      <c r="B43" s="23" t="inlineStr">
        <is>
          <t>ALEJANDRA BLANCO ALLEMANT</t>
        </is>
      </c>
      <c r="C43" s="12" t="inlineStr">
        <is>
          <t>Endocrinologia</t>
        </is>
      </c>
      <c r="D43" s="12" t="inlineStr">
        <is>
          <t>Ginecologia y obsterticia</t>
        </is>
      </c>
      <c r="E43" s="22" t="n">
        <v>127</v>
      </c>
      <c r="F43" s="22" t="n">
        <v>6543</v>
      </c>
      <c r="G43" s="24" t="inlineStr">
        <is>
          <t>https://guiarsanrafael.com.ar/empresa/alejandra-blanco-allemant/</t>
        </is>
      </c>
    </row>
    <row r="44">
      <c r="A44" s="19" t="n">
        <v>43</v>
      </c>
      <c r="B44" s="20" t="inlineStr">
        <is>
          <t>ALEJANDRA TELLO</t>
        </is>
      </c>
      <c r="C44" s="14" t="inlineStr">
        <is>
          <t>Auxiliar en kinesiologia</t>
        </is>
      </c>
      <c r="D44" s="14" t="inlineStr">
        <is>
          <t>Auxiliar en kinesiologia</t>
        </is>
      </c>
      <c r="E44" s="19" t="n">
        <v>133</v>
      </c>
      <c r="F44" s="19" t="n">
        <v>6158</v>
      </c>
      <c r="G44" s="21" t="inlineStr">
        <is>
          <t>https://guiarsanrafael.com.ar/empresa/alejandra-tello/</t>
        </is>
      </c>
    </row>
    <row r="45">
      <c r="A45" s="22" t="n">
        <v>44</v>
      </c>
      <c r="B45" s="23" t="inlineStr">
        <is>
          <t>Alejandra Troyano</t>
        </is>
      </c>
      <c r="C45" s="12" t="inlineStr">
        <is>
          <t>Clinica del lenguaje</t>
        </is>
      </c>
      <c r="D45" s="12" t="inlineStr">
        <is>
          <t>Clinica del lenguaje</t>
        </is>
      </c>
      <c r="E45" s="22" t="n">
        <v>156</v>
      </c>
      <c r="F45" s="22" t="n">
        <v>5326</v>
      </c>
      <c r="G45" s="24" t="inlineStr">
        <is>
          <t>https://guiarsanrafael.com.ar/empresa/alejandra-troyano/</t>
        </is>
      </c>
    </row>
    <row r="46">
      <c r="A46" s="19" t="n">
        <v>45</v>
      </c>
      <c r="B46" s="20" t="inlineStr">
        <is>
          <t>ALEJANDRA VIZCAYA</t>
        </is>
      </c>
      <c r="C46" s="14" t="inlineStr">
        <is>
          <t>Centro de estetica</t>
        </is>
      </c>
      <c r="D46" s="14" t="inlineStr">
        <is>
          <t>Centro de rehabilitacion</t>
        </is>
      </c>
      <c r="E46" s="19" t="n">
        <v>168</v>
      </c>
      <c r="F46" s="19" t="n">
        <v>4681</v>
      </c>
      <c r="G46" s="21" t="inlineStr">
        <is>
          <t>https://guiarsanrafael.com.ar/empresa/alejandra-vizcaya/</t>
        </is>
      </c>
    </row>
    <row r="47">
      <c r="A47" s="22" t="n">
        <v>46</v>
      </c>
      <c r="B47" s="23" t="inlineStr">
        <is>
          <t>ALEJANDRO GARCIA HERAS</t>
        </is>
      </c>
      <c r="C47" s="12" t="inlineStr">
        <is>
          <t>Cirugia plastica cirujano cirujana</t>
        </is>
      </c>
      <c r="D47" s="12" t="inlineStr">
        <is>
          <t>Cirugia plastica</t>
        </is>
      </c>
      <c r="E47" s="22" t="n">
        <v>160</v>
      </c>
      <c r="F47" s="22" t="n">
        <v>5273</v>
      </c>
      <c r="G47" s="24" t="inlineStr">
        <is>
          <t>https://guiarsanrafael.com.ar/empresa/alejandro-garcia-heras/</t>
        </is>
      </c>
    </row>
    <row r="48">
      <c r="A48" s="19" t="n">
        <v>47</v>
      </c>
      <c r="B48" s="20" t="inlineStr">
        <is>
          <t>ALEJANDRO JACINTO</t>
        </is>
      </c>
      <c r="C48" s="14" t="inlineStr">
        <is>
          <t>Cardiologia medico cardiologo</t>
        </is>
      </c>
      <c r="D48" s="14" t="inlineStr">
        <is>
          <t>Cardiologia</t>
        </is>
      </c>
      <c r="E48" s="19" t="n">
        <v>56</v>
      </c>
      <c r="F48" s="19" t="n">
        <v>9158</v>
      </c>
      <c r="G48" s="21" t="inlineStr">
        <is>
          <t>https://guiarsanrafael.com.ar/empresa/alejandro-jacinto/</t>
        </is>
      </c>
    </row>
    <row r="49">
      <c r="A49" s="22" t="n">
        <v>48</v>
      </c>
      <c r="B49" s="23" t="inlineStr">
        <is>
          <t>ALEJANDRO PÉREZ AZCURRA</t>
        </is>
      </c>
      <c r="C49" s="12" t="inlineStr">
        <is>
          <t>Traumatologia y ortopedia</t>
        </is>
      </c>
      <c r="D49" s="12" t="inlineStr">
        <is>
          <t>Traumatologia</t>
        </is>
      </c>
      <c r="E49" s="22" t="n">
        <v>165</v>
      </c>
      <c r="F49" s="22" t="n">
        <v>4985</v>
      </c>
      <c r="G49" s="24" t="inlineStr">
        <is>
          <t>https://guiarsanrafael.com.ar/empresa/alejandro-perez-azcurra/</t>
        </is>
      </c>
    </row>
    <row r="50">
      <c r="A50" s="19" t="n">
        <v>49</v>
      </c>
      <c r="B50" s="20" t="inlineStr">
        <is>
          <t>Alejandro Zamora</t>
        </is>
      </c>
      <c r="C50" s="14" t="inlineStr">
        <is>
          <t>Odontologia</t>
        </is>
      </c>
      <c r="D50" s="14" t="inlineStr">
        <is>
          <t>Odontologia</t>
        </is>
      </c>
      <c r="E50" s="19" t="n">
        <v>99</v>
      </c>
      <c r="F50" s="19" t="n">
        <v>7473</v>
      </c>
      <c r="G50" s="21" t="inlineStr">
        <is>
          <t>https://guiarsanrafael.com.ar/empresa/alejandro-zamora/</t>
        </is>
      </c>
    </row>
    <row r="51">
      <c r="A51" s="22" t="n">
        <v>50</v>
      </c>
      <c r="B51" s="23" t="inlineStr">
        <is>
          <t>ALFONSO LORENZO</t>
        </is>
      </c>
      <c r="C51" s="12" t="inlineStr">
        <is>
          <t>Odontologia</t>
        </is>
      </c>
      <c r="D51" s="12" t="inlineStr">
        <is>
          <t>Odontologia</t>
        </is>
      </c>
      <c r="E51" s="22" t="n">
        <v>102</v>
      </c>
      <c r="F51" s="22" t="n">
        <v>7391</v>
      </c>
      <c r="G51" s="24" t="inlineStr">
        <is>
          <t>https://guiarsanrafael.com.ar/empresa/alfonso-lorenzo/</t>
        </is>
      </c>
    </row>
    <row r="52">
      <c r="A52" s="19" t="n">
        <v>51</v>
      </c>
      <c r="B52" s="20" t="inlineStr">
        <is>
          <t>ALFREDO ARNEDILLO</t>
        </is>
      </c>
      <c r="C52" s="14" t="inlineStr">
        <is>
          <t>Bioquimicos laboratorio</t>
        </is>
      </c>
      <c r="D52" s="14" t="inlineStr">
        <is>
          <t>Bioquimicos</t>
        </is>
      </c>
      <c r="E52" s="19" t="n">
        <v>61</v>
      </c>
      <c r="F52" s="19" t="n">
        <v>8793</v>
      </c>
      <c r="G52" s="21" t="inlineStr">
        <is>
          <t>https://guiarsanrafael.com.ar/empresa/alfredo-arnedillo/</t>
        </is>
      </c>
    </row>
    <row r="53">
      <c r="A53" s="22" t="n">
        <v>52</v>
      </c>
      <c r="B53" s="23" t="inlineStr">
        <is>
          <t>ALIMECH Las Cuadradas</t>
        </is>
      </c>
      <c r="C53" s="12" t="inlineStr">
        <is>
          <t>Almacen natural</t>
        </is>
      </c>
      <c r="D53" s="12" t="inlineStr">
        <is>
          <t>Almacen natural</t>
        </is>
      </c>
      <c r="E53" s="22" t="n">
        <v>16</v>
      </c>
      <c r="F53" s="22" t="n">
        <v>12689</v>
      </c>
      <c r="G53" s="24" t="inlineStr">
        <is>
          <t>https://guiarsanrafael.com.ar/empresa/alimech-las-cuadradas/</t>
        </is>
      </c>
    </row>
    <row r="54">
      <c r="A54" s="19" t="n">
        <v>53</v>
      </c>
      <c r="B54" s="20" t="inlineStr">
        <is>
          <t>Alma Dulce Panadería</t>
        </is>
      </c>
      <c r="C54" s="14" t="inlineStr">
        <is>
          <t>Panaderias</t>
        </is>
      </c>
      <c r="D54" s="14" t="inlineStr">
        <is>
          <t>Panaderia</t>
        </is>
      </c>
      <c r="E54" s="19" t="n">
        <v>63</v>
      </c>
      <c r="F54" s="19" t="n">
        <v>8641</v>
      </c>
      <c r="G54" s="21" t="inlineStr">
        <is>
          <t>https://guiarsanrafael.com.ar/empresa/alma-dulce-panaderia/</t>
        </is>
      </c>
    </row>
    <row r="55">
      <c r="A55" s="22" t="n">
        <v>54</v>
      </c>
      <c r="B55" s="23" t="inlineStr">
        <is>
          <t>Alma Dulce Panadería</t>
        </is>
      </c>
      <c r="C55" s="12" t="inlineStr">
        <is>
          <t>Confiterias reposteria</t>
        </is>
      </c>
      <c r="D55" s="12" t="inlineStr">
        <is>
          <t>Panaderia</t>
        </is>
      </c>
      <c r="E55" s="22" t="n">
        <v>63</v>
      </c>
      <c r="F55" s="22" t="n">
        <v>8670</v>
      </c>
      <c r="G55" s="24" t="inlineStr">
        <is>
          <t>https://guiarsanrafael.com.ar/empresa/alma-dulce-panaderia-2/</t>
        </is>
      </c>
    </row>
    <row r="56">
      <c r="A56" s="19" t="n">
        <v>55</v>
      </c>
      <c r="B56" s="20" t="inlineStr">
        <is>
          <t>ALMACEN DEL BARRIO Fiambreria</t>
        </is>
      </c>
      <c r="C56" s="14" t="inlineStr">
        <is>
          <t>Almacen minimarket</t>
        </is>
      </c>
      <c r="D56" s="14" t="inlineStr">
        <is>
          <t>Almacen</t>
        </is>
      </c>
      <c r="E56" s="19" t="n">
        <v>33</v>
      </c>
      <c r="F56" s="19" t="n">
        <v>10550</v>
      </c>
      <c r="G56" s="21" t="inlineStr">
        <is>
          <t>https://guiarsanrafael.com.ar/empresa/almacen-del-barrio-fiambreria/</t>
        </is>
      </c>
    </row>
    <row r="57">
      <c r="A57" s="22" t="n">
        <v>56</v>
      </c>
      <c r="B57" s="23" t="inlineStr">
        <is>
          <t>ALMACEN MITRE</t>
        </is>
      </c>
      <c r="C57" s="12" t="inlineStr">
        <is>
          <t>Tinenda de bebidas vinotecas licores</t>
        </is>
      </c>
      <c r="D57" s="12" t="inlineStr">
        <is>
          <t>Tienda de bebidas</t>
        </is>
      </c>
      <c r="E57" s="22" t="n">
        <v>51</v>
      </c>
      <c r="F57" s="22" t="n">
        <v>9307</v>
      </c>
      <c r="G57" s="24" t="inlineStr">
        <is>
          <t>https://guiarsanrafael.com.ar/empresa/almacen-mitre/</t>
        </is>
      </c>
    </row>
    <row r="58">
      <c r="A58" s="19" t="n">
        <v>57</v>
      </c>
      <c r="B58" s="20" t="inlineStr">
        <is>
          <t>Almacén 1933</t>
        </is>
      </c>
      <c r="C58" s="14" t="inlineStr">
        <is>
          <t>Almacen de vinos</t>
        </is>
      </c>
      <c r="D58" s="14" t="inlineStr">
        <is>
          <t>Tienda de bebidas</t>
        </is>
      </c>
      <c r="E58" s="19" t="n">
        <v>51</v>
      </c>
      <c r="F58" s="19" t="n">
        <v>9309</v>
      </c>
      <c r="G58" s="21" t="inlineStr">
        <is>
          <t>https://guiarsanrafael.com.ar/empresa/almacen-1933/</t>
        </is>
      </c>
    </row>
    <row r="59">
      <c r="A59" s="22" t="n">
        <v>58</v>
      </c>
      <c r="B59" s="23" t="inlineStr">
        <is>
          <t>Almacén Yancanelo</t>
        </is>
      </c>
      <c r="C59" s="12" t="inlineStr">
        <is>
          <t>Artesanias</t>
        </is>
      </c>
      <c r="D59" s="12" t="inlineStr">
        <is>
          <t>Aceite de oliva</t>
        </is>
      </c>
      <c r="E59" s="22" t="n">
        <v>52</v>
      </c>
      <c r="F59" s="22" t="n">
        <v>9280</v>
      </c>
      <c r="G59" s="24" t="inlineStr">
        <is>
          <t>https://guiarsanrafael.com.ar/empresa/almacen-yancanelo/</t>
        </is>
      </c>
    </row>
    <row r="60">
      <c r="A60" s="19" t="n">
        <v>59</v>
      </c>
      <c r="B60" s="20" t="inlineStr">
        <is>
          <t>ALOHA Heladerias 🍨</t>
        </is>
      </c>
      <c r="C60" s="14" t="inlineStr">
        <is>
          <t>Congelados</t>
        </is>
      </c>
      <c r="D60" s="14" t="inlineStr">
        <is>
          <t>Congelados</t>
        </is>
      </c>
      <c r="E60" s="19" t="n">
        <v>1</v>
      </c>
      <c r="F60" s="19" t="n">
        <v>15150</v>
      </c>
      <c r="G60" s="21" t="inlineStr">
        <is>
          <t>https://guiarsanrafael.com.ar/empresa/aloha-heladerias-%f0%9f%8d%a8/</t>
        </is>
      </c>
    </row>
    <row r="61">
      <c r="A61" s="22" t="n">
        <v>60</v>
      </c>
      <c r="B61" s="23" t="inlineStr">
        <is>
          <t>ALOHA Heladerias 🍨</t>
        </is>
      </c>
      <c r="C61" s="12" t="inlineStr">
        <is>
          <t>Distribuidoras</t>
        </is>
      </c>
      <c r="D61" s="12" t="inlineStr">
        <is>
          <t>Distribuidoras</t>
        </is>
      </c>
      <c r="E61" s="22" t="n">
        <v>1</v>
      </c>
      <c r="F61" s="22" t="n">
        <v>15151</v>
      </c>
      <c r="G61" s="24" t="inlineStr">
        <is>
          <t>https://guiarsanrafael.com.ar/empresa/aloha-heladerias-%f0%9f%8d%a8-2/</t>
        </is>
      </c>
    </row>
    <row r="62">
      <c r="A62" s="19" t="n">
        <v>61</v>
      </c>
      <c r="B62" s="20" t="inlineStr">
        <is>
          <t>Alonso Santiago Julián</t>
        </is>
      </c>
      <c r="C62" s="14" t="inlineStr">
        <is>
          <t>Abogados abogadas estudios juridicos</t>
        </is>
      </c>
      <c r="D62" s="14" t="inlineStr">
        <is>
          <t>Abogadas</t>
        </is>
      </c>
      <c r="E62" s="19" t="n">
        <v>107</v>
      </c>
      <c r="F62" s="19" t="n">
        <v>7265</v>
      </c>
      <c r="G62" s="21" t="inlineStr">
        <is>
          <t>https://guiarsanrafael.com.ar/empresa/alonso-santiago-julian/</t>
        </is>
      </c>
    </row>
    <row r="63">
      <c r="A63" s="22" t="n">
        <v>62</v>
      </c>
      <c r="B63" s="23" t="inlineStr">
        <is>
          <t>Alpa Repuestos</t>
        </is>
      </c>
      <c r="C63" s="12" t="inlineStr">
        <is>
          <t>Repuestos del automotor autopartes</t>
        </is>
      </c>
      <c r="D63" s="12" t="inlineStr">
        <is>
          <t>Repuestos del automotor</t>
        </is>
      </c>
      <c r="E63" s="22" t="n">
        <v>73</v>
      </c>
      <c r="F63" s="22" t="n">
        <v>8428</v>
      </c>
      <c r="G63" s="24" t="inlineStr">
        <is>
          <t>https://guiarsanrafael.com.ar/empresa/alpa-repuestos/</t>
        </is>
      </c>
    </row>
    <row r="64">
      <c r="A64" s="19" t="n">
        <v>63</v>
      </c>
      <c r="B64" s="20" t="inlineStr">
        <is>
          <t>ALQUILER DE CANDY BAR</t>
        </is>
      </c>
      <c r="C64" s="14" t="inlineStr">
        <is>
          <t>Candy bar</t>
        </is>
      </c>
      <c r="D64" s="14" t="inlineStr">
        <is>
          <t>Candy bar</t>
        </is>
      </c>
      <c r="E64" s="19" t="n">
        <v>25</v>
      </c>
      <c r="F64" s="19" t="n">
        <v>11706</v>
      </c>
      <c r="G64" s="21" t="inlineStr">
        <is>
          <t>https://guiarsanrafael.com.ar/empresa/alquiler-de-candy-bar/</t>
        </is>
      </c>
    </row>
    <row r="65">
      <c r="A65" s="22" t="n">
        <v>64</v>
      </c>
      <c r="B65" s="23" t="inlineStr">
        <is>
          <t>ALTA IMAGEN S.A. Diagnóstico Medico</t>
        </is>
      </c>
      <c r="C65" s="12" t="inlineStr">
        <is>
          <t>Diagnostico por imagenes ecografia mamografias</t>
        </is>
      </c>
      <c r="D65" s="12" t="inlineStr">
        <is>
          <t>Diagnostico por imagenes</t>
        </is>
      </c>
      <c r="E65" s="22" t="n">
        <v>133</v>
      </c>
      <c r="F65" s="22" t="n">
        <v>6166</v>
      </c>
      <c r="G65" s="24" t="inlineStr">
        <is>
          <t>https://guiarsanrafael.com.ar/empresa/alta-imagen-s-a-diagnostico-medico/</t>
        </is>
      </c>
    </row>
    <row r="66">
      <c r="A66" s="19" t="n">
        <v>65</v>
      </c>
      <c r="B66" s="20" t="inlineStr">
        <is>
          <t>Altamiranda Sergio R.</t>
        </is>
      </c>
      <c r="C66" s="14" t="inlineStr">
        <is>
          <t>Abogados abogadas estudios juridicos</t>
        </is>
      </c>
      <c r="D66" s="14" t="inlineStr">
        <is>
          <t>Abogados</t>
        </is>
      </c>
      <c r="E66" s="19" t="n">
        <v>119</v>
      </c>
      <c r="F66" s="19" t="n">
        <v>7113</v>
      </c>
      <c r="G66" s="21" t="inlineStr">
        <is>
          <t>https://guiarsanrafael.com.ar/empresa/altamiranda-sergio-r/</t>
        </is>
      </c>
    </row>
    <row r="67">
      <c r="A67" s="22" t="n">
        <v>66</v>
      </c>
      <c r="B67" s="23" t="inlineStr">
        <is>
          <t>ALTOS DEL NIHUIL Restaurant &amp; Boutique</t>
        </is>
      </c>
      <c r="C67" s="12" t="inlineStr">
        <is>
          <t>Catering empresas gastronomicas</t>
        </is>
      </c>
      <c r="D67" s="12" t="inlineStr">
        <is>
          <t>Catering</t>
        </is>
      </c>
      <c r="E67" s="22" t="n">
        <v>20</v>
      </c>
      <c r="F67" s="22" t="n">
        <v>12283</v>
      </c>
      <c r="G67" s="24" t="inlineStr">
        <is>
          <t>https://guiarsanrafael.com.ar/empresa/altos-del-nihuil-restaurant-boutique/</t>
        </is>
      </c>
    </row>
    <row r="68">
      <c r="A68" s="19" t="n">
        <v>67</v>
      </c>
      <c r="B68" s="20" t="inlineStr">
        <is>
          <t>ALUMINIO 2000</t>
        </is>
      </c>
      <c r="C68" s="14" t="inlineStr">
        <is>
          <t>Aberturas</t>
        </is>
      </c>
      <c r="D68" s="14" t="inlineStr">
        <is>
          <t>Aberturas</t>
        </is>
      </c>
      <c r="E68" s="19" t="n">
        <v>170</v>
      </c>
      <c r="F68" s="19" t="n">
        <v>4516</v>
      </c>
      <c r="G68" s="21" t="inlineStr">
        <is>
          <t>https://guiarsanrafael.com.ar/empresa/aluminio-2000/</t>
        </is>
      </c>
    </row>
    <row r="69">
      <c r="A69" s="22" t="n">
        <v>68</v>
      </c>
      <c r="B69" s="23" t="inlineStr">
        <is>
          <t>AMARA Centro de Estética</t>
        </is>
      </c>
      <c r="C69" s="12" t="inlineStr">
        <is>
          <t>Centro de estetica</t>
        </is>
      </c>
      <c r="D69" s="12" t="inlineStr">
        <is>
          <t>Centro de estetica</t>
        </is>
      </c>
      <c r="E69" s="22" t="n">
        <v>125</v>
      </c>
      <c r="F69" s="22" t="n">
        <v>6722</v>
      </c>
      <c r="G69" s="24" t="inlineStr">
        <is>
          <t>https://guiarsanrafael.com.ar/empresa/amara-centro-de-estetica/</t>
        </is>
      </c>
    </row>
    <row r="70">
      <c r="A70" s="19" t="n">
        <v>69</v>
      </c>
      <c r="B70" s="20" t="inlineStr">
        <is>
          <t>AMARILLO Textil</t>
        </is>
      </c>
      <c r="C70" s="14" t="inlineStr">
        <is>
          <t>Bordados</t>
        </is>
      </c>
      <c r="D70" s="14" t="inlineStr">
        <is>
          <t>Bordados</t>
        </is>
      </c>
      <c r="E70" s="19" t="n">
        <v>40</v>
      </c>
      <c r="F70" s="19" t="n">
        <v>10020</v>
      </c>
      <c r="G70" s="21" t="inlineStr">
        <is>
          <t>https://guiarsanrafael.com.ar/empresa/amarillo-textil/</t>
        </is>
      </c>
    </row>
    <row r="71">
      <c r="A71" s="22" t="n">
        <v>70</v>
      </c>
      <c r="B71" s="23" t="inlineStr">
        <is>
          <t>Ambrosini Luciana</t>
        </is>
      </c>
      <c r="C71" s="12" t="inlineStr">
        <is>
          <t>Abogados abogadas estudios juridicos</t>
        </is>
      </c>
      <c r="D71" s="12" t="inlineStr">
        <is>
          <t>Abogadas</t>
        </is>
      </c>
      <c r="E71" s="22" t="n">
        <v>107</v>
      </c>
      <c r="F71" s="22" t="n">
        <v>7256</v>
      </c>
      <c r="G71" s="24" t="inlineStr">
        <is>
          <t>https://guiarsanrafael.com.ar/empresa/ambrosini-luciana/</t>
        </is>
      </c>
    </row>
    <row r="72">
      <c r="A72" s="19" t="n">
        <v>71</v>
      </c>
      <c r="B72" s="20" t="inlineStr">
        <is>
          <t>AMG Compañía Constructora</t>
        </is>
      </c>
      <c r="C72" s="14" t="inlineStr">
        <is>
          <t>Construccion en seco constructoras</t>
        </is>
      </c>
      <c r="D72" s="14" t="inlineStr">
        <is>
          <t>Construccion en seco</t>
        </is>
      </c>
      <c r="E72" s="19" t="n">
        <v>27</v>
      </c>
      <c r="F72" s="19" t="n">
        <v>11367</v>
      </c>
      <c r="G72" s="21" t="inlineStr">
        <is>
          <t>https://guiarsanrafael.com.ar/empresa/amg-compania-constructora/</t>
        </is>
      </c>
    </row>
    <row r="73">
      <c r="A73" s="22" t="n">
        <v>72</v>
      </c>
      <c r="B73" s="23" t="inlineStr">
        <is>
          <t>Amukan Guest House</t>
        </is>
      </c>
      <c r="C73" s="12" t="inlineStr">
        <is>
          <t>Alojamiento cabanas camping</t>
        </is>
      </c>
      <c r="D73" s="12" t="inlineStr">
        <is>
          <t>Alojamientos</t>
        </is>
      </c>
      <c r="E73" s="22" t="n">
        <v>59</v>
      </c>
      <c r="F73" s="22" t="n">
        <v>8933</v>
      </c>
      <c r="G73" s="24" t="inlineStr">
        <is>
          <t>https://guiarsanrafael.com.ar/empresa/amukan-guest-house/</t>
        </is>
      </c>
    </row>
    <row r="74">
      <c r="A74" s="19" t="n">
        <v>73</v>
      </c>
      <c r="B74" s="20" t="inlineStr">
        <is>
          <t>ANA BOROVINA</t>
        </is>
      </c>
      <c r="C74" s="14" t="inlineStr">
        <is>
          <t>Cardiologia medico cardiologo</t>
        </is>
      </c>
      <c r="D74" s="14" t="inlineStr">
        <is>
          <t>Cardiologia</t>
        </is>
      </c>
      <c r="E74" s="19" t="n">
        <v>124</v>
      </c>
      <c r="F74" s="19" t="n">
        <v>6751</v>
      </c>
      <c r="G74" s="21" t="inlineStr">
        <is>
          <t>https://guiarsanrafael.com.ar/empresa/ana-borovina/</t>
        </is>
      </c>
    </row>
    <row r="75">
      <c r="A75" s="22" t="n">
        <v>74</v>
      </c>
      <c r="B75" s="23" t="inlineStr">
        <is>
          <t>ANA CORDESCHI</t>
        </is>
      </c>
      <c r="C75" s="12" t="inlineStr">
        <is>
          <t>Neurologia neurologo neurologa</t>
        </is>
      </c>
      <c r="D75" s="12" t="inlineStr">
        <is>
          <t>Neurologia</t>
        </is>
      </c>
      <c r="E75" s="22" t="n">
        <v>94</v>
      </c>
      <c r="F75" s="22" t="n">
        <v>7785</v>
      </c>
      <c r="G75" s="24" t="inlineStr">
        <is>
          <t>https://guiarsanrafael.com.ar/empresa/ana-cordeschi/</t>
        </is>
      </c>
    </row>
    <row r="76">
      <c r="A76" s="19" t="n">
        <v>75</v>
      </c>
      <c r="B76" s="20" t="inlineStr">
        <is>
          <t>ANA LIZ BIURRUM</t>
        </is>
      </c>
      <c r="C76" s="14" t="inlineStr">
        <is>
          <t>Centro de rehabilitacion</t>
        </is>
      </c>
      <c r="D76" s="14" t="inlineStr">
        <is>
          <t>Centro de rehabilitacion</t>
        </is>
      </c>
      <c r="E76" s="19" t="n">
        <v>18</v>
      </c>
      <c r="F76" s="19" t="n">
        <v>12417</v>
      </c>
      <c r="G76" s="21" t="inlineStr">
        <is>
          <t>https://guiarsanrafael.com.ar/empresa/ana-liz-biurrum/</t>
        </is>
      </c>
    </row>
    <row r="77">
      <c r="A77" s="22" t="n">
        <v>76</v>
      </c>
      <c r="B77" s="23" t="inlineStr">
        <is>
          <t>Ana María Prior</t>
        </is>
      </c>
      <c r="C77" s="12" t="inlineStr">
        <is>
          <t>Oncologia</t>
        </is>
      </c>
      <c r="D77" s="12" t="inlineStr">
        <is>
          <t>Oncologia</t>
        </is>
      </c>
      <c r="E77" s="22" t="n">
        <v>147</v>
      </c>
      <c r="F77" s="22" t="n">
        <v>5454</v>
      </c>
      <c r="G77" s="24" t="inlineStr">
        <is>
          <t>https://guiarsanrafael.com.ar/empresa/ana-maria-prior/</t>
        </is>
      </c>
    </row>
    <row r="78">
      <c r="A78" s="19" t="n">
        <v>77</v>
      </c>
      <c r="B78" s="20" t="inlineStr">
        <is>
          <t>Ana Paula  Maggioni</t>
        </is>
      </c>
      <c r="C78" s="14" t="inlineStr">
        <is>
          <t>Terapia ocupacional terapista</t>
        </is>
      </c>
      <c r="D78" s="14" t="inlineStr">
        <is>
          <t>Terapista ocupacional</t>
        </is>
      </c>
      <c r="E78" s="19" t="n">
        <v>142</v>
      </c>
      <c r="F78" s="19" t="n">
        <v>5531</v>
      </c>
      <c r="G78" s="21" t="inlineStr">
        <is>
          <t>https://guiarsanrafael.com.ar/empresa/ana-paula-maggioni/</t>
        </is>
      </c>
    </row>
    <row r="79">
      <c r="A79" s="22" t="n">
        <v>78</v>
      </c>
      <c r="B79" s="23" t="inlineStr">
        <is>
          <t>Anabella Galera</t>
        </is>
      </c>
      <c r="C79" s="12" t="inlineStr">
        <is>
          <t>Nutricion nutricionistas</t>
        </is>
      </c>
      <c r="D79" s="12" t="inlineStr">
        <is>
          <t>Nutricionistas</t>
        </is>
      </c>
      <c r="E79" s="22" t="n">
        <v>149</v>
      </c>
      <c r="F79" s="22" t="n">
        <v>5424</v>
      </c>
      <c r="G79" s="24" t="inlineStr">
        <is>
          <t>https://guiarsanrafael.com.ar/empresa/anabella-galera/</t>
        </is>
      </c>
    </row>
    <row r="80">
      <c r="A80" s="19" t="n">
        <v>79</v>
      </c>
      <c r="B80" s="20" t="inlineStr">
        <is>
          <t>ANALISIS Biológicos y Químicos</t>
        </is>
      </c>
      <c r="C80" s="14" t="inlineStr">
        <is>
          <t>Bioquimicos laboratorio</t>
        </is>
      </c>
      <c r="D80" s="14" t="inlineStr">
        <is>
          <t>Bioquimicos</t>
        </is>
      </c>
      <c r="E80" s="19" t="n">
        <v>43</v>
      </c>
      <c r="F80" s="19" t="n">
        <v>9782</v>
      </c>
      <c r="G80" s="21" t="inlineStr">
        <is>
          <t>https://guiarsanrafael.com.ar/empresa/analisis-biologicos-y-quimicos/</t>
        </is>
      </c>
    </row>
    <row r="81">
      <c r="A81" s="22" t="n">
        <v>80</v>
      </c>
      <c r="B81" s="23" t="inlineStr">
        <is>
          <t>ANDEMI Distribuidora</t>
        </is>
      </c>
      <c r="C81" s="12" t="inlineStr">
        <is>
          <t>Distribuidoras</t>
        </is>
      </c>
      <c r="D81" s="12" t="inlineStr">
        <is>
          <t>Distribuidoras</t>
        </is>
      </c>
      <c r="E81" s="22" t="n">
        <v>10</v>
      </c>
      <c r="F81" s="22" t="n">
        <v>13575</v>
      </c>
      <c r="G81" s="24" t="inlineStr">
        <is>
          <t>https://guiarsanrafael.com.ar/empresa/andemi-distribuidora/</t>
        </is>
      </c>
    </row>
    <row r="82">
      <c r="A82" s="19" t="n">
        <v>81</v>
      </c>
      <c r="B82" s="20" t="inlineStr">
        <is>
          <t>ANDES MOTORS</t>
        </is>
      </c>
      <c r="C82" s="14" t="inlineStr">
        <is>
          <t>Agencias de motos</t>
        </is>
      </c>
      <c r="D82" s="14" t="inlineStr">
        <is>
          <t>Agencias de motos</t>
        </is>
      </c>
      <c r="E82" s="19" t="n">
        <v>70</v>
      </c>
      <c r="F82" s="19" t="n">
        <v>8460</v>
      </c>
      <c r="G82" s="21" t="inlineStr">
        <is>
          <t>https://guiarsanrafael.com.ar/empresa/andes-motors/</t>
        </is>
      </c>
    </row>
    <row r="83">
      <c r="A83" s="22" t="n">
        <v>82</v>
      </c>
      <c r="B83" s="23" t="inlineStr">
        <is>
          <t>Andinos del Nevado</t>
        </is>
      </c>
      <c r="C83" s="12" t="inlineStr">
        <is>
          <t>Complejo turisticos</t>
        </is>
      </c>
      <c r="D83" s="12" t="inlineStr">
        <is>
          <t>Alojamientos</t>
        </is>
      </c>
      <c r="E83" s="22" t="n">
        <v>59</v>
      </c>
      <c r="F83" s="22" t="n">
        <v>8899</v>
      </c>
      <c r="G83" s="24" t="inlineStr">
        <is>
          <t>https://guiarsanrafael.com.ar/empresa/andinos-del-nevado/</t>
        </is>
      </c>
    </row>
    <row r="84">
      <c r="A84" s="19" t="n">
        <v>83</v>
      </c>
      <c r="B84" s="20" t="inlineStr">
        <is>
          <t>Andrea Gutiérrez</t>
        </is>
      </c>
      <c r="C84" s="14" t="inlineStr">
        <is>
          <t>Ginecologia y obsterticia</t>
        </is>
      </c>
      <c r="D84" s="14" t="inlineStr">
        <is>
          <t>Ginecologia y obsterticia</t>
        </is>
      </c>
      <c r="E84" s="19" t="n">
        <v>155</v>
      </c>
      <c r="F84" s="19" t="n">
        <v>5338</v>
      </c>
      <c r="G84" s="21" t="inlineStr">
        <is>
          <t>https://guiarsanrafael.com.ar/empresa/andrea-gutierrez/</t>
        </is>
      </c>
    </row>
    <row r="85">
      <c r="A85" s="22" t="n">
        <v>84</v>
      </c>
      <c r="B85" s="23" t="inlineStr">
        <is>
          <t>Andrea Serrano</t>
        </is>
      </c>
      <c r="C85" s="12" t="inlineStr">
        <is>
          <t>Nutricion nutricionistas</t>
        </is>
      </c>
      <c r="D85" s="12" t="inlineStr">
        <is>
          <t>Nutricionistas</t>
        </is>
      </c>
      <c r="E85" s="22" t="n">
        <v>148</v>
      </c>
      <c r="F85" s="22" t="n">
        <v>5436</v>
      </c>
      <c r="G85" s="24" t="inlineStr">
        <is>
          <t>https://guiarsanrafael.com.ar/empresa/andrea-serrano/</t>
        </is>
      </c>
    </row>
    <row r="86">
      <c r="A86" s="19" t="n">
        <v>85</v>
      </c>
      <c r="B86" s="20" t="inlineStr">
        <is>
          <t>ANDREA TURESSO Bienes Raices</t>
        </is>
      </c>
      <c r="C86" s="14" t="inlineStr">
        <is>
          <t>Administraciones alquileres inmobiliarias</t>
        </is>
      </c>
      <c r="D86" s="14" t="inlineStr">
        <is>
          <t>Administraciones</t>
        </is>
      </c>
      <c r="E86" s="19" t="n">
        <v>61</v>
      </c>
      <c r="F86" s="19" t="n">
        <v>8807</v>
      </c>
      <c r="G86" s="21" t="inlineStr">
        <is>
          <t>https://guiarsanrafael.com.ar/empresa/andrea-turesso-bienes-raices/</t>
        </is>
      </c>
    </row>
    <row r="87">
      <c r="A87" s="22" t="n">
        <v>86</v>
      </c>
      <c r="B87" s="23" t="inlineStr">
        <is>
          <t>ANDRES Automotores</t>
        </is>
      </c>
      <c r="C87" s="12" t="inlineStr">
        <is>
          <t>Agencia de autos automotores</t>
        </is>
      </c>
      <c r="D87" s="12" t="inlineStr">
        <is>
          <t>Agencia de autos</t>
        </is>
      </c>
      <c r="E87" s="22" t="n">
        <v>41</v>
      </c>
      <c r="F87" s="22" t="n">
        <v>9980</v>
      </c>
      <c r="G87" s="24" t="inlineStr">
        <is>
          <t>https://guiarsanrafael.com.ar/empresa/andres-automotores/</t>
        </is>
      </c>
    </row>
    <row r="88">
      <c r="A88" s="19" t="n">
        <v>87</v>
      </c>
      <c r="B88" s="20" t="inlineStr">
        <is>
          <t>ANDRES GATTI</t>
        </is>
      </c>
      <c r="C88" s="14" t="inlineStr">
        <is>
          <t>Traumatologia y ortopedia</t>
        </is>
      </c>
      <c r="D88" s="14" t="inlineStr">
        <is>
          <t>Traumatologia</t>
        </is>
      </c>
      <c r="E88" s="19" t="n">
        <v>142</v>
      </c>
      <c r="F88" s="19" t="n">
        <v>5537</v>
      </c>
      <c r="G88" s="21" t="inlineStr">
        <is>
          <t>https://guiarsanrafael.com.ar/empresa/andres-gatti/</t>
        </is>
      </c>
    </row>
    <row r="89">
      <c r="A89" s="22" t="n">
        <v>88</v>
      </c>
      <c r="B89" s="23" t="inlineStr">
        <is>
          <t>ANDRES GERVASI</t>
        </is>
      </c>
      <c r="C89" s="12" t="inlineStr">
        <is>
          <t>Productor de seguros</t>
        </is>
      </c>
      <c r="D89" s="12" t="inlineStr">
        <is>
          <t>Productor de seguros</t>
        </is>
      </c>
      <c r="E89" s="22" t="n">
        <v>136</v>
      </c>
      <c r="F89" s="22" t="n">
        <v>5977</v>
      </c>
      <c r="G89" s="24" t="inlineStr">
        <is>
          <t>https://guiarsanrafael.com.ar/empresa/andres-gervasi/</t>
        </is>
      </c>
    </row>
    <row r="90">
      <c r="A90" s="19" t="n">
        <v>89</v>
      </c>
      <c r="B90" s="20" t="inlineStr">
        <is>
          <t>ANDRÉS RUBIO</t>
        </is>
      </c>
      <c r="C90" s="14" t="inlineStr">
        <is>
          <t>Kinesiologia y fisioterapia</t>
        </is>
      </c>
      <c r="D90" s="14" t="inlineStr">
        <is>
          <t>Centro de rehabilitacion</t>
        </is>
      </c>
      <c r="E90" s="19" t="n">
        <v>140</v>
      </c>
      <c r="F90" s="19" t="n">
        <v>5616</v>
      </c>
      <c r="G90" s="21" t="inlineStr">
        <is>
          <t>https://guiarsanrafael.com.ar/empresa/andres-rubio/</t>
        </is>
      </c>
    </row>
    <row r="91">
      <c r="A91" s="22" t="n">
        <v>90</v>
      </c>
      <c r="B91" s="23" t="inlineStr">
        <is>
          <t>Andy Gomas</t>
        </is>
      </c>
      <c r="C91" s="12" t="inlineStr">
        <is>
          <t>Articulos de goma</t>
        </is>
      </c>
      <c r="D91" s="12" t="inlineStr">
        <is>
          <t>Articulos de goma</t>
        </is>
      </c>
      <c r="E91" s="22" t="n">
        <v>74</v>
      </c>
      <c r="F91" s="22" t="n">
        <v>8419</v>
      </c>
      <c r="G91" s="24" t="inlineStr">
        <is>
          <t>https://guiarsanrafael.com.ar/empresa/andy-gomas/</t>
        </is>
      </c>
    </row>
    <row r="92">
      <c r="A92" s="19" t="n">
        <v>91</v>
      </c>
      <c r="B92" s="20" t="inlineStr">
        <is>
          <t>ANESUEL TIENDA</t>
        </is>
      </c>
      <c r="C92" s="14" t="inlineStr">
        <is>
          <t>Indumentaria</t>
        </is>
      </c>
      <c r="D92" s="14" t="inlineStr">
        <is>
          <t>Tiendas</t>
        </is>
      </c>
      <c r="E92" s="19" t="n">
        <v>15</v>
      </c>
      <c r="F92" s="19" t="n">
        <v>12705</v>
      </c>
      <c r="G92" s="21" t="inlineStr">
        <is>
          <t>https://guiarsanrafael.com.ar/empresa/anesuel-tienda/</t>
        </is>
      </c>
    </row>
    <row r="93">
      <c r="A93" s="22" t="n">
        <v>92</v>
      </c>
      <c r="B93" s="23" t="inlineStr">
        <is>
          <t>ANGELA CONTRAFATTO</t>
        </is>
      </c>
      <c r="C93" s="12" t="inlineStr">
        <is>
          <t>Productor de seguros</t>
        </is>
      </c>
      <c r="D93" s="12" t="inlineStr">
        <is>
          <t>Productor de seguros</t>
        </is>
      </c>
      <c r="E93" s="22" t="n">
        <v>30</v>
      </c>
      <c r="F93" s="22" t="n">
        <v>11106</v>
      </c>
      <c r="G93" s="24" t="inlineStr">
        <is>
          <t>https://guiarsanrafael.com.ar/empresa/angela-contrafatto/</t>
        </is>
      </c>
    </row>
    <row r="94">
      <c r="A94" s="19" t="n">
        <v>93</v>
      </c>
      <c r="B94" s="20" t="inlineStr">
        <is>
          <t>ANGELES PIZARRO Masoterapeuta</t>
        </is>
      </c>
      <c r="C94" s="14" t="inlineStr">
        <is>
          <t>Centro de estetica</t>
        </is>
      </c>
      <c r="D94" s="14" t="inlineStr">
        <is>
          <t>Centro de estetica</t>
        </is>
      </c>
      <c r="E94" s="19" t="n">
        <v>15</v>
      </c>
      <c r="F94" s="19" t="n">
        <v>12697</v>
      </c>
      <c r="G94" s="21" t="inlineStr">
        <is>
          <t>https://guiarsanrafael.com.ar/empresa/angeles-pizarro-masoterapeuta/</t>
        </is>
      </c>
    </row>
    <row r="95">
      <c r="A95" s="22" t="n">
        <v>94</v>
      </c>
      <c r="B95" s="23" t="inlineStr">
        <is>
          <t>ANTENOR CRUZ FUNEZ</t>
        </is>
      </c>
      <c r="C95" s="12" t="inlineStr">
        <is>
          <t>Kinesiologia y fisioterapia</t>
        </is>
      </c>
      <c r="D95" s="12" t="inlineStr">
        <is>
          <t>Kinesiologia y fisioterapia</t>
        </is>
      </c>
      <c r="E95" s="22" t="n">
        <v>136</v>
      </c>
      <c r="F95" s="22" t="n">
        <v>5916</v>
      </c>
      <c r="G95" s="24" t="inlineStr">
        <is>
          <t>https://guiarsanrafael.com.ar/empresa/antenor-cruz-funez/</t>
        </is>
      </c>
    </row>
    <row r="96">
      <c r="A96" s="19" t="n">
        <v>95</v>
      </c>
      <c r="B96" s="20" t="inlineStr">
        <is>
          <t>ANTONELA NAVARRETE</t>
        </is>
      </c>
      <c r="C96" s="14" t="inlineStr">
        <is>
          <t>Odontologia</t>
        </is>
      </c>
      <c r="D96" s="14" t="inlineStr">
        <is>
          <t>Odontologia</t>
        </is>
      </c>
      <c r="E96" s="19" t="n">
        <v>101</v>
      </c>
      <c r="F96" s="19" t="n">
        <v>7450</v>
      </c>
      <c r="G96" s="21" t="inlineStr">
        <is>
          <t>https://guiarsanrafael.com.ar/empresa/maria-antonella-navarrete/</t>
        </is>
      </c>
    </row>
    <row r="97">
      <c r="A97" s="22" t="n">
        <v>96</v>
      </c>
      <c r="B97" s="23" t="inlineStr">
        <is>
          <t>ANTONELLA CICHELLI</t>
        </is>
      </c>
      <c r="C97" s="12" t="inlineStr">
        <is>
          <t>Grafologia grafoterapia grafologa</t>
        </is>
      </c>
      <c r="D97" s="12" t="inlineStr">
        <is>
          <t>Grafologia</t>
        </is>
      </c>
      <c r="E97" s="22" t="n">
        <v>125</v>
      </c>
      <c r="F97" s="22" t="n">
        <v>6682</v>
      </c>
      <c r="G97" s="24" t="inlineStr">
        <is>
          <t>https://guiarsanrafael.com.ar/empresa/antonella-cichelli/</t>
        </is>
      </c>
    </row>
    <row r="98">
      <c r="A98" s="19" t="n">
        <v>97</v>
      </c>
      <c r="B98" s="20" t="inlineStr">
        <is>
          <t>Antonella Morandin</t>
        </is>
      </c>
      <c r="C98" s="14" t="inlineStr">
        <is>
          <t>Clinica del lenguaje</t>
        </is>
      </c>
      <c r="D98" s="14" t="inlineStr">
        <is>
          <t>Clinica del lenguaje</t>
        </is>
      </c>
      <c r="E98" s="19" t="n">
        <v>156</v>
      </c>
      <c r="F98" s="19" t="n">
        <v>5322</v>
      </c>
      <c r="G98" s="21" t="inlineStr">
        <is>
          <t>https://guiarsanrafael.com.ar/empresa/antonella-morandin/</t>
        </is>
      </c>
    </row>
    <row r="99">
      <c r="A99" s="22" t="n">
        <v>98</v>
      </c>
      <c r="B99" s="23" t="inlineStr">
        <is>
          <t>ANTONIETA Hostel</t>
        </is>
      </c>
      <c r="C99" s="12" t="inlineStr">
        <is>
          <t>Alojamiento cabanas camping</t>
        </is>
      </c>
      <c r="D99" s="12" t="inlineStr">
        <is>
          <t>Alojamientos</t>
        </is>
      </c>
      <c r="E99" s="22" t="n">
        <v>32</v>
      </c>
      <c r="F99" s="22" t="n">
        <v>10867</v>
      </c>
      <c r="G99" s="24" t="inlineStr">
        <is>
          <t>https://guiarsanrafael.com.ar/empresa/antonieta-hostel/</t>
        </is>
      </c>
    </row>
    <row r="100">
      <c r="A100" s="19" t="n">
        <v>99</v>
      </c>
      <c r="B100" s="20" t="inlineStr">
        <is>
          <t>Análisis Clínicos San Rafael</t>
        </is>
      </c>
      <c r="C100" s="14" t="inlineStr">
        <is>
          <t>Bioquimicos laboratorio</t>
        </is>
      </c>
      <c r="D100" s="14" t="inlineStr">
        <is>
          <t>(sin ubicación)</t>
        </is>
      </c>
      <c r="E100" s="19" t="n">
        <v>43</v>
      </c>
      <c r="F100" s="19" t="n">
        <v>9780</v>
      </c>
      <c r="G100" s="21" t="inlineStr">
        <is>
          <t>https://guiarsanrafael.com.ar/empresa/analisis-clinicos-san-rafael/</t>
        </is>
      </c>
    </row>
    <row r="101">
      <c r="A101" s="22" t="n">
        <v>100</v>
      </c>
      <c r="B101" s="23" t="inlineStr">
        <is>
          <t>Apart Hotel Milenium</t>
        </is>
      </c>
      <c r="C101" s="12" t="inlineStr">
        <is>
          <t>Apar thotel</t>
        </is>
      </c>
      <c r="D101" s="12" t="inlineStr">
        <is>
          <t>Alojamientos</t>
        </is>
      </c>
      <c r="E101" s="22" t="n">
        <v>92</v>
      </c>
      <c r="F101" s="22" t="n">
        <v>7846</v>
      </c>
      <c r="G101" s="24" t="inlineStr">
        <is>
          <t>https://guiarsanrafael.com.ar/empresa/apart-hotel-milenium/</t>
        </is>
      </c>
    </row>
    <row r="102">
      <c r="A102" s="19" t="n">
        <v>101</v>
      </c>
      <c r="B102" s="20" t="inlineStr">
        <is>
          <t>Apart Hotel Sesma &amp; Cabañas</t>
        </is>
      </c>
      <c r="C102" s="14" t="inlineStr">
        <is>
          <t>Apar thotel</t>
        </is>
      </c>
      <c r="D102" s="14" t="inlineStr">
        <is>
          <t>Alojamientos</t>
        </is>
      </c>
      <c r="E102" s="19" t="n">
        <v>90</v>
      </c>
      <c r="F102" s="19" t="n">
        <v>7862</v>
      </c>
      <c r="G102" s="21" t="inlineStr">
        <is>
          <t>https://guiarsanrafael.com.ar/empresa/apart-hotel-sesma-cabanas/</t>
        </is>
      </c>
    </row>
    <row r="103">
      <c r="A103" s="22" t="n">
        <v>102</v>
      </c>
      <c r="B103" s="23" t="inlineStr">
        <is>
          <t>Apartamentos Boulevard</t>
        </is>
      </c>
      <c r="C103" s="12" t="inlineStr">
        <is>
          <t>Departamentos turisticos alquiler</t>
        </is>
      </c>
      <c r="D103" s="12" t="inlineStr">
        <is>
          <t>Alojamientos</t>
        </is>
      </c>
      <c r="E103" s="22" t="n">
        <v>60</v>
      </c>
      <c r="F103" s="22" t="n">
        <v>8893</v>
      </c>
      <c r="G103" s="24" t="inlineStr">
        <is>
          <t>https://guiarsanrafael.com.ar/empresa/apartamentos-boulevard/</t>
        </is>
      </c>
    </row>
    <row r="104">
      <c r="A104" s="19" t="n">
        <v>103</v>
      </c>
      <c r="B104" s="20" t="inlineStr">
        <is>
          <t>APOLO GYM Hard Trainer</t>
        </is>
      </c>
      <c r="C104" s="14" t="inlineStr">
        <is>
          <t>Destacados</t>
        </is>
      </c>
      <c r="D104" s="14" t="inlineStr">
        <is>
          <t>Gimnasios</t>
        </is>
      </c>
      <c r="E104" s="19" t="n">
        <v>172</v>
      </c>
      <c r="F104" s="19" t="n">
        <v>4252</v>
      </c>
      <c r="G104" s="21" t="inlineStr">
        <is>
          <t>https://guiarsanrafael.com.ar/empresa/apolo-gym-hard-trainer/</t>
        </is>
      </c>
    </row>
    <row r="105">
      <c r="A105" s="22" t="n">
        <v>104</v>
      </c>
      <c r="B105" s="23" t="inlineStr">
        <is>
          <t>AQUA Pesca y Camping</t>
        </is>
      </c>
      <c r="C105" s="12" t="inlineStr">
        <is>
          <t>Articulos de camping</t>
        </is>
      </c>
      <c r="D105" s="12" t="inlineStr">
        <is>
          <t>Casa de pesca</t>
        </is>
      </c>
      <c r="E105" s="22" t="n">
        <v>125</v>
      </c>
      <c r="F105" s="22" t="n">
        <v>6643</v>
      </c>
      <c r="G105" s="24" t="inlineStr">
        <is>
          <t>https://guiarsanrafael.com.ar/empresa/aqua-pesca-y-camping/</t>
        </is>
      </c>
    </row>
    <row r="106">
      <c r="A106" s="19" t="n">
        <v>105</v>
      </c>
      <c r="B106" s="20" t="inlineStr">
        <is>
          <t>ARANA VIDRIOS</t>
        </is>
      </c>
      <c r="C106" s="14" t="inlineStr">
        <is>
          <t>Cristaleria vidrios</t>
        </is>
      </c>
      <c r="D106" s="14" t="inlineStr">
        <is>
          <t>Cristalerias</t>
        </is>
      </c>
      <c r="E106" s="19" t="n">
        <v>171</v>
      </c>
      <c r="F106" s="19" t="n">
        <v>4335</v>
      </c>
      <c r="G106" s="21" t="inlineStr">
        <is>
          <t>https://guiarsanrafael.com.ar/empresa/arana-vidrios/</t>
        </is>
      </c>
    </row>
    <row r="107">
      <c r="A107" s="22" t="n">
        <v>106</v>
      </c>
      <c r="B107" s="23" t="inlineStr">
        <is>
          <t>Araucaria Resort</t>
        </is>
      </c>
      <c r="C107" s="12" t="inlineStr">
        <is>
          <t>Complejo turisticos</t>
        </is>
      </c>
      <c r="D107" s="12" t="inlineStr">
        <is>
          <t>Alojamientos</t>
        </is>
      </c>
      <c r="E107" s="22" t="n">
        <v>60</v>
      </c>
      <c r="F107" s="22" t="n">
        <v>8884</v>
      </c>
      <c r="G107" s="24" t="inlineStr">
        <is>
          <t>https://guiarsanrafael.com.ar/empresa/araucaria-resort/</t>
        </is>
      </c>
    </row>
    <row r="108">
      <c r="A108" s="19" t="n">
        <v>107</v>
      </c>
      <c r="B108" s="20" t="inlineStr">
        <is>
          <t>ARCO COTILLON</t>
        </is>
      </c>
      <c r="C108" s="14" t="inlineStr">
        <is>
          <t>Cotillon</t>
        </is>
      </c>
      <c r="D108" s="14" t="inlineStr">
        <is>
          <t>Cotillon</t>
        </is>
      </c>
      <c r="E108" s="19" t="n">
        <v>163</v>
      </c>
      <c r="F108" s="19" t="n">
        <v>5065</v>
      </c>
      <c r="G108" s="21" t="inlineStr">
        <is>
          <t>https://guiarsanrafael.com.ar/empresa/arco-cotillon/</t>
        </is>
      </c>
    </row>
    <row r="109">
      <c r="A109" s="22" t="n">
        <v>108</v>
      </c>
      <c r="B109" s="23" t="inlineStr">
        <is>
          <t>ARGOS Diagnósticos Oftalmológicos</t>
        </is>
      </c>
      <c r="C109" s="12" t="inlineStr">
        <is>
          <t>Diagnostico por imagenes ecografia mamografias</t>
        </is>
      </c>
      <c r="D109" s="12" t="inlineStr">
        <is>
          <t>Centro oftalmologico</t>
        </is>
      </c>
      <c r="E109" s="22" t="n">
        <v>158</v>
      </c>
      <c r="F109" s="22" t="n">
        <v>5293</v>
      </c>
      <c r="G109" s="24" t="inlineStr">
        <is>
          <t>https://guiarsanrafael.com.ar/empresa/argos-diagnosticos-oftalmologicos/</t>
        </is>
      </c>
    </row>
    <row r="110">
      <c r="A110" s="19" t="n">
        <v>109</v>
      </c>
      <c r="B110" s="20" t="inlineStr">
        <is>
          <t>ARIAN NORBERTO MONZALVO</t>
        </is>
      </c>
      <c r="C110" s="14" t="inlineStr">
        <is>
          <t>Agrimensores agrimensura estudios tecnicos</t>
        </is>
      </c>
      <c r="D110" s="14" t="inlineStr">
        <is>
          <t>Agrimensores</t>
        </is>
      </c>
      <c r="E110" s="19" t="n">
        <v>134</v>
      </c>
      <c r="F110" s="19" t="n">
        <v>6085</v>
      </c>
      <c r="G110" s="21" t="inlineStr">
        <is>
          <t>https://guiarsanrafael.com.ar/empresa/arian-norberto-monzalvo/</t>
        </is>
      </c>
    </row>
    <row r="111">
      <c r="A111" s="22" t="n">
        <v>110</v>
      </c>
      <c r="B111" s="23" t="inlineStr">
        <is>
          <t>ARIEL CERVANTES  Servicio Mecánico</t>
        </is>
      </c>
      <c r="C111" s="12" t="inlineStr">
        <is>
          <t>Diagnostico computarizado mecanica</t>
        </is>
      </c>
      <c r="D111" s="12" t="inlineStr">
        <is>
          <t>Diagnostico computarizado</t>
        </is>
      </c>
      <c r="E111" s="22" t="n">
        <v>180</v>
      </c>
      <c r="F111" s="22" t="n">
        <v>3543</v>
      </c>
      <c r="G111" s="24" t="inlineStr">
        <is>
          <t>https://guiarsanrafael.com.ar/empresa/ariel-cervantes-servicio-mecanico/</t>
        </is>
      </c>
    </row>
    <row r="112">
      <c r="A112" s="19" t="n">
        <v>111</v>
      </c>
      <c r="B112" s="20" t="inlineStr">
        <is>
          <t>ARIEL HUERTA Servicio de Gomería</t>
        </is>
      </c>
      <c r="C112" s="14" t="inlineStr">
        <is>
          <t>Gomerias neumaticos gomas cubiertas</t>
        </is>
      </c>
      <c r="D112" s="14" t="inlineStr">
        <is>
          <t>Gomeria</t>
        </is>
      </c>
      <c r="E112" s="19" t="n">
        <v>128</v>
      </c>
      <c r="F112" s="19" t="n">
        <v>6474</v>
      </c>
      <c r="G112" s="21" t="inlineStr">
        <is>
          <t>https://guiarsanrafael.com.ar/empresa/ariel-huerta-servicio-de-gomeria/</t>
        </is>
      </c>
    </row>
    <row r="113">
      <c r="A113" s="22" t="n">
        <v>112</v>
      </c>
      <c r="B113" s="23" t="inlineStr">
        <is>
          <t>Ariel Marin Motos</t>
        </is>
      </c>
      <c r="C113" s="12" t="inlineStr">
        <is>
          <t>Repuestos de motos</t>
        </is>
      </c>
      <c r="D113" s="12" t="inlineStr">
        <is>
          <t>Accesorios para motos</t>
        </is>
      </c>
      <c r="E113" s="22" t="n">
        <v>72</v>
      </c>
      <c r="F113" s="22" t="n">
        <v>8445</v>
      </c>
      <c r="G113" s="24" t="inlineStr">
        <is>
          <t>https://guiarsanrafael.com.ar/empresa/8445/</t>
        </is>
      </c>
    </row>
    <row r="114">
      <c r="A114" s="19" t="n">
        <v>113</v>
      </c>
      <c r="B114" s="20" t="inlineStr">
        <is>
          <t>ARRULA Luciano Martín</t>
        </is>
      </c>
      <c r="C114" s="14" t="inlineStr">
        <is>
          <t>Escribanias escribanos escribanas mandatario mandataria notarios notarias</t>
        </is>
      </c>
      <c r="D114" s="14" t="inlineStr">
        <is>
          <t>Escribanias</t>
        </is>
      </c>
      <c r="E114" s="19" t="n">
        <v>87</v>
      </c>
      <c r="F114" s="19" t="n">
        <v>8144</v>
      </c>
      <c r="G114" s="21" t="inlineStr">
        <is>
          <t>https://guiarsanrafael.com.ar/empresa/arrula-luciano-martin/</t>
        </is>
      </c>
    </row>
    <row r="115">
      <c r="A115" s="22" t="n">
        <v>114</v>
      </c>
      <c r="B115" s="23" t="inlineStr">
        <is>
          <t>AS Productos Sublimables</t>
        </is>
      </c>
      <c r="C115" s="12" t="inlineStr">
        <is>
          <t>Estampados</t>
        </is>
      </c>
      <c r="D115" s="12" t="inlineStr">
        <is>
          <t>Estampados</t>
        </is>
      </c>
      <c r="E115" s="22" t="n">
        <v>3</v>
      </c>
      <c r="F115" s="22" t="n">
        <v>14751</v>
      </c>
      <c r="G115" s="24" t="inlineStr">
        <is>
          <t>https://guiarsanrafael.com.ar/empresa/as-productos-sublimables/</t>
        </is>
      </c>
    </row>
    <row r="116">
      <c r="A116" s="19" t="n">
        <v>115</v>
      </c>
      <c r="B116" s="20" t="inlineStr">
        <is>
          <t>ASCLEPIO Centro de Rehabilitación</t>
        </is>
      </c>
      <c r="C116" s="14" t="inlineStr">
        <is>
          <t>Centro de rehabilitacion</t>
        </is>
      </c>
      <c r="D116" s="14" t="inlineStr">
        <is>
          <t>Centro de rehabilitacion</t>
        </is>
      </c>
      <c r="E116" s="19" t="n">
        <v>53</v>
      </c>
      <c r="F116" s="19" t="n">
        <v>9258</v>
      </c>
      <c r="G116" s="21" t="inlineStr">
        <is>
          <t>https://guiarsanrafael.com.ar/empresa/asclepio-centro-de-rehabilitacion/</t>
        </is>
      </c>
    </row>
    <row r="117">
      <c r="A117" s="22" t="n">
        <v>116</v>
      </c>
      <c r="B117" s="23" t="inlineStr">
        <is>
          <t>ASTUDILLO Amoblamietos</t>
        </is>
      </c>
      <c r="C117" s="12" t="inlineStr">
        <is>
          <t>Amoblamientos</t>
        </is>
      </c>
      <c r="D117" s="12" t="inlineStr">
        <is>
          <t>Amoblamientos</t>
        </is>
      </c>
      <c r="E117" s="22" t="n">
        <v>137</v>
      </c>
      <c r="F117" s="22" t="n">
        <v>5882</v>
      </c>
      <c r="G117" s="24" t="inlineStr">
        <is>
          <t>https://guiarsanrafael.com.ar/empresa/astudillo-amoblamietos/</t>
        </is>
      </c>
    </row>
    <row r="118">
      <c r="A118" s="19" t="n">
        <v>117</v>
      </c>
      <c r="B118" s="20" t="inlineStr">
        <is>
          <t>Atmosféricos Del Sur</t>
        </is>
      </c>
      <c r="C118" s="14" t="inlineStr">
        <is>
          <t>Atmosfericos desagotes pozos septicos perforaciones</t>
        </is>
      </c>
      <c r="D118" s="14" t="inlineStr">
        <is>
          <t>Atmosfericos</t>
        </is>
      </c>
      <c r="E118" s="19" t="n">
        <v>163</v>
      </c>
      <c r="F118" s="19" t="n">
        <v>5084</v>
      </c>
      <c r="G118" s="21" t="inlineStr">
        <is>
          <t>https://guiarsanrafael.com.ar/empresa/atmosfericos-del-sur/</t>
        </is>
      </c>
    </row>
    <row r="119">
      <c r="A119" s="22" t="n">
        <v>118</v>
      </c>
      <c r="B119" s="23" t="inlineStr">
        <is>
          <t>Atuel Motos</t>
        </is>
      </c>
      <c r="C119" s="12" t="inlineStr">
        <is>
          <t>Agencias de motos</t>
        </is>
      </c>
      <c r="D119" s="12" t="inlineStr">
        <is>
          <t>Accesorios para motos</t>
        </is>
      </c>
      <c r="E119" s="22" t="n">
        <v>72</v>
      </c>
      <c r="F119" s="22" t="n">
        <v>8455</v>
      </c>
      <c r="G119" s="24" t="inlineStr">
        <is>
          <t>https://guiarsanrafael.com.ar/empresa/atuel-motos/</t>
        </is>
      </c>
    </row>
    <row r="120">
      <c r="A120" s="19" t="n">
        <v>119</v>
      </c>
      <c r="B120" s="20" t="inlineStr">
        <is>
          <t>Atuel Travel</t>
        </is>
      </c>
      <c r="C120" s="14" t="inlineStr">
        <is>
          <t>Agencia de viajes</t>
        </is>
      </c>
      <c r="D120" s="14" t="inlineStr">
        <is>
          <t>Agencias de viajes</t>
        </is>
      </c>
      <c r="E120" s="19" t="n">
        <v>93</v>
      </c>
      <c r="F120" s="19" t="n">
        <v>7816</v>
      </c>
      <c r="G120" s="21" t="inlineStr">
        <is>
          <t>https://guiarsanrafael.com.ar/empresa/atuel-travel/</t>
        </is>
      </c>
    </row>
    <row r="121">
      <c r="A121" s="22" t="n">
        <v>120</v>
      </c>
      <c r="B121" s="23" t="inlineStr">
        <is>
          <t>ATÉRMICOS PARIS</t>
        </is>
      </c>
      <c r="C121" s="12" t="inlineStr">
        <is>
          <t>Farica de atermicos impermeabilizantes</t>
        </is>
      </c>
      <c r="D121" s="12" t="inlineStr">
        <is>
          <t>Aislantes 2</t>
        </is>
      </c>
      <c r="E121" s="22" t="n">
        <v>167</v>
      </c>
      <c r="F121" s="22" t="n">
        <v>4861</v>
      </c>
      <c r="G121" s="24" t="inlineStr">
        <is>
          <t>https://guiarsanrafael.com.ar/empresa/atermicos-paris/</t>
        </is>
      </c>
    </row>
    <row r="122">
      <c r="A122" s="19" t="n">
        <v>121</v>
      </c>
      <c r="B122" s="20" t="inlineStr">
        <is>
          <t>AUGUSTO E. CLAUSEN</t>
        </is>
      </c>
      <c r="C122" s="14" t="inlineStr">
        <is>
          <t>Escribanias escribanos escribanas mandatario mandataria notarios notarias</t>
        </is>
      </c>
      <c r="D122" s="14" t="inlineStr">
        <is>
          <t>Escribanias</t>
        </is>
      </c>
      <c r="E122" s="19" t="n">
        <v>120</v>
      </c>
      <c r="F122" s="19" t="n">
        <v>7073</v>
      </c>
      <c r="G122" s="21" t="inlineStr">
        <is>
          <t>https://guiarsanrafael.com.ar/empresa/augusto-e-clausen/</t>
        </is>
      </c>
    </row>
    <row r="123">
      <c r="A123" s="22" t="n">
        <v>122</v>
      </c>
      <c r="B123" s="23" t="inlineStr">
        <is>
          <t>Auto Rumbo S.r.l.</t>
        </is>
      </c>
      <c r="C123" s="12" t="inlineStr">
        <is>
          <t>Repuestos del automotor autopartes</t>
        </is>
      </c>
      <c r="D123" s="12" t="inlineStr">
        <is>
          <t>Autopartes</t>
        </is>
      </c>
      <c r="E123" s="22" t="n">
        <v>73</v>
      </c>
      <c r="F123" s="22" t="n">
        <v>8429</v>
      </c>
      <c r="G123" s="24" t="inlineStr">
        <is>
          <t>https://guiarsanrafael.com.ar/empresa/auto-rumbo-s-r-l/</t>
        </is>
      </c>
    </row>
    <row r="124">
      <c r="A124" s="19" t="n">
        <v>123</v>
      </c>
      <c r="B124" s="20" t="inlineStr">
        <is>
          <t>AUTOLED</t>
        </is>
      </c>
      <c r="C124" s="14" t="inlineStr">
        <is>
          <t>Electricidad del automotor</t>
        </is>
      </c>
      <c r="D124" s="14" t="inlineStr">
        <is>
          <t>Electricidad del automotor</t>
        </is>
      </c>
      <c r="E124" s="19" t="n">
        <v>182</v>
      </c>
      <c r="F124" s="19" t="n">
        <v>6694</v>
      </c>
      <c r="G124" s="21" t="inlineStr">
        <is>
          <t>https://guiarsanrafael.com.ar/empresa/autoled/</t>
        </is>
      </c>
    </row>
    <row r="125">
      <c r="A125" s="22" t="n">
        <v>124</v>
      </c>
      <c r="B125" s="23" t="inlineStr">
        <is>
          <t>AutoLed</t>
        </is>
      </c>
      <c r="C125" s="12" t="inlineStr">
        <is>
          <t>Estetica vehicular tuning</t>
        </is>
      </c>
      <c r="D125" s="12" t="inlineStr">
        <is>
          <t>Accesorios del automotor</t>
        </is>
      </c>
      <c r="E125" s="22" t="n">
        <v>182</v>
      </c>
      <c r="F125" s="22" t="n">
        <v>9219</v>
      </c>
      <c r="G125" s="24" t="inlineStr">
        <is>
          <t>https://guiarsanrafael.com.ar/empresa/autoled-2/</t>
        </is>
      </c>
    </row>
    <row r="126">
      <c r="A126" s="19" t="n">
        <v>125</v>
      </c>
      <c r="B126" s="20" t="inlineStr">
        <is>
          <t>Autopartes Alberdi S.A</t>
        </is>
      </c>
      <c r="C126" s="14" t="inlineStr">
        <is>
          <t>Repuestos de camiones</t>
        </is>
      </c>
      <c r="D126" s="14" t="inlineStr">
        <is>
          <t>Autopartes</t>
        </is>
      </c>
      <c r="E126" s="19" t="n">
        <v>73</v>
      </c>
      <c r="F126" s="19" t="n">
        <v>8431</v>
      </c>
      <c r="G126" s="21" t="inlineStr">
        <is>
          <t>https://guiarsanrafael.com.ar/empresa/autopartes-alberdi-s-a/</t>
        </is>
      </c>
    </row>
    <row r="127">
      <c r="A127" s="22" t="n">
        <v>126</v>
      </c>
      <c r="B127" s="23" t="inlineStr">
        <is>
          <t>Autopartes Politano</t>
        </is>
      </c>
      <c r="C127" s="12" t="inlineStr">
        <is>
          <t>Autopartes</t>
        </is>
      </c>
      <c r="D127" s="12" t="inlineStr">
        <is>
          <t>Autopartes</t>
        </is>
      </c>
      <c r="E127" s="22" t="n">
        <v>73</v>
      </c>
      <c r="F127" s="22" t="n">
        <v>8441</v>
      </c>
      <c r="G127" s="24" t="inlineStr">
        <is>
          <t>https://guiarsanrafael.com.ar/empresa/autopartes-politano/</t>
        </is>
      </c>
    </row>
    <row r="128">
      <c r="A128" s="19" t="n">
        <v>127</v>
      </c>
      <c r="B128" s="20" t="inlineStr">
        <is>
          <t>AUTOSUR s.r.l.</t>
        </is>
      </c>
      <c r="C128" s="14" t="inlineStr">
        <is>
          <t>Autopartes</t>
        </is>
      </c>
      <c r="D128" s="14" t="inlineStr">
        <is>
          <t>Autopartes</t>
        </is>
      </c>
      <c r="E128" s="19" t="n">
        <v>76</v>
      </c>
      <c r="F128" s="19" t="n">
        <v>8391</v>
      </c>
      <c r="G128" s="21" t="inlineStr">
        <is>
          <t>https://guiarsanrafael.com.ar/empresa/autosur-srl/</t>
        </is>
      </c>
    </row>
    <row r="129">
      <c r="A129" s="22" t="n">
        <v>128</v>
      </c>
      <c r="B129" s="23" t="inlineStr">
        <is>
          <t>AUXILIO MECANICO</t>
        </is>
      </c>
      <c r="C129" s="12" t="inlineStr">
        <is>
          <t>Auxilio mecanico gruas</t>
        </is>
      </c>
      <c r="D129" s="12" t="inlineStr">
        <is>
          <t>Auxilio mecanico</t>
        </is>
      </c>
      <c r="E129" s="22" t="n">
        <v>27</v>
      </c>
      <c r="F129" s="22" t="n">
        <v>11453</v>
      </c>
      <c r="G129" s="24" t="inlineStr">
        <is>
          <t>https://guiarsanrafael.com.ar/empresa/auxilio-mecanico/</t>
        </is>
      </c>
    </row>
    <row r="130">
      <c r="A130" s="19" t="n">
        <v>129</v>
      </c>
      <c r="B130" s="20" t="inlineStr">
        <is>
          <t>AV Pintura del Automotor</t>
        </is>
      </c>
      <c r="C130" s="14" t="inlineStr">
        <is>
          <t>Estetica vehicular tuning</t>
        </is>
      </c>
      <c r="D130" s="14" t="inlineStr">
        <is>
          <t>Estetica vehicular</t>
        </is>
      </c>
      <c r="E130" s="19" t="n">
        <v>26</v>
      </c>
      <c r="F130" s="19" t="n">
        <v>11504</v>
      </c>
      <c r="G130" s="21" t="inlineStr">
        <is>
          <t>https://guiarsanrafael.com.ar/empresa/av-pintura-del-automotor/</t>
        </is>
      </c>
    </row>
    <row r="131">
      <c r="A131" s="22" t="n">
        <v>130</v>
      </c>
      <c r="B131" s="23" t="inlineStr">
        <is>
          <t>Ayala Ailin Virginia</t>
        </is>
      </c>
      <c r="C131" s="12" t="inlineStr">
        <is>
          <t>Abogados abogadas estudios juridicos</t>
        </is>
      </c>
      <c r="D131" s="12" t="inlineStr">
        <is>
          <t>Abogadas</t>
        </is>
      </c>
      <c r="E131" s="22" t="n">
        <v>111</v>
      </c>
      <c r="F131" s="22" t="n">
        <v>7209</v>
      </c>
      <c r="G131" s="24" t="inlineStr">
        <is>
          <t>https://guiarsanrafael.com.ar/empresa/ayala-ailin-virginia/</t>
        </is>
      </c>
    </row>
    <row r="132">
      <c r="A132" s="19" t="n">
        <v>131</v>
      </c>
      <c r="B132" s="20" t="inlineStr">
        <is>
          <t>Ayala Claudio Omar</t>
        </is>
      </c>
      <c r="C132" s="14" t="inlineStr">
        <is>
          <t>Abogados abogadas estudios juridicos</t>
        </is>
      </c>
      <c r="D132" s="14" t="inlineStr">
        <is>
          <t>Abogados</t>
        </is>
      </c>
      <c r="E132" s="19" t="n">
        <v>117</v>
      </c>
      <c r="F132" s="19" t="n">
        <v>7138</v>
      </c>
      <c r="G132" s="21" t="inlineStr">
        <is>
          <t>https://guiarsanrafael.com.ar/empresa/ayala-claudio-omar/</t>
        </is>
      </c>
    </row>
    <row r="133">
      <c r="A133" s="22" t="n">
        <v>132</v>
      </c>
      <c r="B133" s="23" t="inlineStr">
        <is>
          <t>AYALA Luis Emmanuel</t>
        </is>
      </c>
      <c r="C133" s="12" t="inlineStr">
        <is>
          <t>Escribanias escribanos escribanas mandatario mandataria notarios notarias</t>
        </is>
      </c>
      <c r="D133" s="12" t="inlineStr">
        <is>
          <t>Escribanias</t>
        </is>
      </c>
      <c r="E133" s="22" t="n">
        <v>87</v>
      </c>
      <c r="F133" s="22" t="n">
        <v>8145</v>
      </c>
      <c r="G133" s="24" t="inlineStr">
        <is>
          <t>https://guiarsanrafael.com.ar/empresa/ayala-luis-emmanuel/</t>
        </is>
      </c>
    </row>
    <row r="134">
      <c r="A134" s="19" t="n">
        <v>133</v>
      </c>
      <c r="B134" s="20" t="inlineStr">
        <is>
          <t>Ayub Andrés Horacio</t>
        </is>
      </c>
      <c r="C134" s="14" t="inlineStr">
        <is>
          <t>Abogados abogadas estudios juridicos</t>
        </is>
      </c>
      <c r="D134" s="14" t="inlineStr">
        <is>
          <t>Abogados</t>
        </is>
      </c>
      <c r="E134" s="19" t="n">
        <v>117</v>
      </c>
      <c r="F134" s="19" t="n">
        <v>7144</v>
      </c>
      <c r="G134" s="21" t="inlineStr">
        <is>
          <t>https://guiarsanrafael.com.ar/empresa/ayub-andres-horacio/</t>
        </is>
      </c>
    </row>
    <row r="135">
      <c r="A135" s="22" t="n">
        <v>134</v>
      </c>
      <c r="B135" s="23" t="inlineStr">
        <is>
          <t>AYUB Ernesto Carlos Adolfo</t>
        </is>
      </c>
      <c r="C135" s="12" t="inlineStr">
        <is>
          <t>Escribanias escribanos escribanas mandatario mandataria notarios notarias</t>
        </is>
      </c>
      <c r="D135" s="12" t="inlineStr">
        <is>
          <t>Escribanias</t>
        </is>
      </c>
      <c r="E135" s="22" t="n">
        <v>87</v>
      </c>
      <c r="F135" s="22" t="n">
        <v>8147</v>
      </c>
      <c r="G135" s="24" t="inlineStr">
        <is>
          <t>https://guiarsanrafael.com.ar/empresa/ayub-ernesto-carlos-adolfo/</t>
        </is>
      </c>
    </row>
    <row r="136">
      <c r="A136" s="19" t="n">
        <v>135</v>
      </c>
      <c r="B136" s="20" t="inlineStr">
        <is>
          <t>AYUB Salomón</t>
        </is>
      </c>
      <c r="C136" s="14" t="inlineStr">
        <is>
          <t>Escribanias escribanos escribanas mandatario mandataria notarios notarias</t>
        </is>
      </c>
      <c r="D136" s="14" t="inlineStr">
        <is>
          <t>Escribanias</t>
        </is>
      </c>
      <c r="E136" s="19" t="n">
        <v>87</v>
      </c>
      <c r="F136" s="19" t="n">
        <v>8146</v>
      </c>
      <c r="G136" s="21" t="inlineStr">
        <is>
          <t>https://guiarsanrafael.com.ar/empresa/ayub-salomon/</t>
        </is>
      </c>
    </row>
    <row r="137">
      <c r="A137" s="22" t="n">
        <v>136</v>
      </c>
      <c r="B137" s="23" t="inlineStr">
        <is>
          <t>Ayum Elun  Aldea de Río</t>
        </is>
      </c>
      <c r="C137" s="12" t="inlineStr">
        <is>
          <t>Cabanas alquiler</t>
        </is>
      </c>
      <c r="D137" s="12" t="inlineStr">
        <is>
          <t>Alojamientos</t>
        </is>
      </c>
      <c r="E137" s="22" t="n">
        <v>90</v>
      </c>
      <c r="F137" s="22" t="n">
        <v>7879</v>
      </c>
      <c r="G137" s="24" t="inlineStr">
        <is>
          <t>https://guiarsanrafael.com.ar/empresa/ayum-elun-aldea-de-rio/</t>
        </is>
      </c>
    </row>
    <row r="138">
      <c r="A138" s="19" t="n">
        <v>137</v>
      </c>
      <c r="B138" s="20" t="inlineStr">
        <is>
          <t>BABY LAND Pañalera</t>
        </is>
      </c>
      <c r="C138" s="14" t="inlineStr">
        <is>
          <t>Panaleras</t>
        </is>
      </c>
      <c r="D138" s="14" t="inlineStr">
        <is>
          <t>Panaleras</t>
        </is>
      </c>
      <c r="E138" s="19" t="n">
        <v>15</v>
      </c>
      <c r="F138" s="19" t="n">
        <v>12736</v>
      </c>
      <c r="G138" s="21" t="inlineStr">
        <is>
          <t>https://guiarsanrafael.com.ar/empresa/baby-land-panalera/</t>
        </is>
      </c>
    </row>
    <row r="139">
      <c r="A139" s="22" t="n">
        <v>138</v>
      </c>
      <c r="B139" s="23" t="inlineStr">
        <is>
          <t>Baco’s  Vinoteca</t>
        </is>
      </c>
      <c r="C139" s="12" t="inlineStr">
        <is>
          <t>Tinenda de bebidas vinotecas licores</t>
        </is>
      </c>
      <c r="D139" s="12" t="inlineStr">
        <is>
          <t>Tienda de bebidas</t>
        </is>
      </c>
      <c r="E139" s="22" t="n">
        <v>50</v>
      </c>
      <c r="F139" s="22" t="n">
        <v>9306</v>
      </c>
      <c r="G139" s="24" t="inlineStr">
        <is>
          <t>https://guiarsanrafael.com.ar/empresa/bacos-vinoteca/</t>
        </is>
      </c>
    </row>
    <row r="140">
      <c r="A140" s="19" t="n">
        <v>139</v>
      </c>
      <c r="B140" s="20" t="inlineStr">
        <is>
          <t>BADIALI Neumáticos</t>
        </is>
      </c>
      <c r="C140" s="14" t="inlineStr">
        <is>
          <t>Gomerias neumaticos gomas cubiertas</t>
        </is>
      </c>
      <c r="D140" s="14" t="inlineStr">
        <is>
          <t>Gomeria</t>
        </is>
      </c>
      <c r="E140" s="19" t="n">
        <v>56</v>
      </c>
      <c r="F140" s="19" t="n">
        <v>9121</v>
      </c>
      <c r="G140" s="21" t="inlineStr">
        <is>
          <t>https://guiarsanrafael.com.ar/empresa/badiali-neumaticos/</t>
        </is>
      </c>
    </row>
    <row r="141">
      <c r="A141" s="22" t="n">
        <v>140</v>
      </c>
      <c r="B141" s="23" t="inlineStr">
        <is>
          <t>BAHRÜ – Enjoy and share</t>
        </is>
      </c>
      <c r="C141" s="12" t="inlineStr">
        <is>
          <t>Restaurantes parrilas</t>
        </is>
      </c>
      <c r="D141" s="12" t="inlineStr">
        <is>
          <t>Restaurantes</t>
        </is>
      </c>
      <c r="E141" s="22" t="n">
        <v>38</v>
      </c>
      <c r="F141" s="22" t="n">
        <v>10254</v>
      </c>
      <c r="G141" s="24" t="inlineStr">
        <is>
          <t>https://guiarsanrafael.com.ar/empresa/bahru-enjoy-and-share/</t>
        </is>
      </c>
    </row>
    <row r="142">
      <c r="A142" s="19" t="n">
        <v>141</v>
      </c>
      <c r="B142" s="20" t="inlineStr">
        <is>
          <t>BAI BEN Rotiseria</t>
        </is>
      </c>
      <c r="C142" s="14" t="inlineStr">
        <is>
          <t>Casa de comidas rotiseria viandas</t>
        </is>
      </c>
      <c r="D142" s="14" t="inlineStr">
        <is>
          <t>Casa de comidas</t>
        </is>
      </c>
      <c r="E142" s="19" t="n">
        <v>4</v>
      </c>
      <c r="F142" s="19" t="n">
        <v>14667</v>
      </c>
      <c r="G142" s="21" t="inlineStr">
        <is>
          <t>https://guiarsanrafael.com.ar/empresa/bai-ben-rotiseria/</t>
        </is>
      </c>
    </row>
    <row r="143">
      <c r="A143" s="22" t="n">
        <v>142</v>
      </c>
      <c r="B143" s="23" t="inlineStr">
        <is>
          <t>BAIT desarrollos Inmobiliarios</t>
        </is>
      </c>
      <c r="C143" s="12" t="inlineStr">
        <is>
          <t>Constructoras</t>
        </is>
      </c>
      <c r="D143" s="12" t="inlineStr">
        <is>
          <t>Constructoras</t>
        </is>
      </c>
      <c r="E143" s="22" t="n">
        <v>28</v>
      </c>
      <c r="F143" s="22" t="n">
        <v>11273</v>
      </c>
      <c r="G143" s="24" t="inlineStr">
        <is>
          <t>https://guiarsanrafael.com.ar/empresa/bait-desarrollos-inmobiliarios/</t>
        </is>
      </c>
    </row>
    <row r="144">
      <c r="A144" s="19" t="n">
        <v>143</v>
      </c>
      <c r="B144" s="20" t="inlineStr">
        <is>
          <t>BALLOFFET Suspensión y Dirección</t>
        </is>
      </c>
      <c r="C144" s="14" t="inlineStr">
        <is>
          <t>Amortiguadores repuestos</t>
        </is>
      </c>
      <c r="D144" s="14" t="inlineStr">
        <is>
          <t>Amortiguadores</t>
        </is>
      </c>
      <c r="E144" s="19" t="n">
        <v>40</v>
      </c>
      <c r="F144" s="19" t="n">
        <v>10113</v>
      </c>
      <c r="G144" s="21" t="inlineStr">
        <is>
          <t>https://guiarsanrafael.com.ar/empresa/balloffet-suspension-y-direccion/</t>
        </is>
      </c>
    </row>
    <row r="145">
      <c r="A145" s="22" t="n">
        <v>144</v>
      </c>
      <c r="B145" s="23" t="inlineStr">
        <is>
          <t>BAQUERO María Celina</t>
        </is>
      </c>
      <c r="C145" s="12" t="inlineStr">
        <is>
          <t>Escribanias escribanos escribanas mandatario mandataria notarios notarias</t>
        </is>
      </c>
      <c r="D145" s="12" t="inlineStr">
        <is>
          <t>Escribanas</t>
        </is>
      </c>
      <c r="E145" s="22" t="n">
        <v>87</v>
      </c>
      <c r="F145" s="22" t="n">
        <v>8148</v>
      </c>
      <c r="G145" s="24" t="inlineStr">
        <is>
          <t>https://guiarsanrafael.com.ar/empresa/baquero-maria-celina/</t>
        </is>
      </c>
    </row>
    <row r="146">
      <c r="A146" s="19" t="n">
        <v>145</v>
      </c>
      <c r="B146" s="20" t="inlineStr">
        <is>
          <t>BARBA NEGRA Barberia</t>
        </is>
      </c>
      <c r="C146" s="14" t="inlineStr">
        <is>
          <t>Barberias peluqueria barberos</t>
        </is>
      </c>
      <c r="D146" s="14" t="inlineStr">
        <is>
          <t>Barberias</t>
        </is>
      </c>
      <c r="E146" s="19" t="n">
        <v>61</v>
      </c>
      <c r="F146" s="19" t="n">
        <v>8759</v>
      </c>
      <c r="G146" s="21" t="inlineStr">
        <is>
          <t>https://guiarsanrafael.com.ar/empresa/barba-negra-barberia/</t>
        </is>
      </c>
    </row>
    <row r="147">
      <c r="A147" s="22" t="n">
        <v>146</v>
      </c>
      <c r="B147" s="23" t="inlineStr">
        <is>
          <t>BARBER SHOP</t>
        </is>
      </c>
      <c r="C147" s="12" t="inlineStr">
        <is>
          <t>Barberias peluqueria barberos</t>
        </is>
      </c>
      <c r="D147" s="12" t="inlineStr">
        <is>
          <t>Barberias</t>
        </is>
      </c>
      <c r="E147" s="22" t="n">
        <v>121</v>
      </c>
      <c r="F147" s="22" t="n">
        <v>7037</v>
      </c>
      <c r="G147" s="24" t="inlineStr">
        <is>
          <t>https://guiarsanrafael.com.ar/empresa/barber-shop/</t>
        </is>
      </c>
    </row>
    <row r="148">
      <c r="A148" s="19" t="n">
        <v>147</v>
      </c>
      <c r="B148" s="20" t="inlineStr">
        <is>
          <t>BARBERIA ARGENTO</t>
        </is>
      </c>
      <c r="C148" s="14" t="inlineStr">
        <is>
          <t>Barberias peluqueria barberos</t>
        </is>
      </c>
      <c r="D148" s="14" t="inlineStr">
        <is>
          <t>Barberias</t>
        </is>
      </c>
      <c r="E148" s="19" t="n">
        <v>166</v>
      </c>
      <c r="F148" s="19" t="n">
        <v>4888</v>
      </c>
      <c r="G148" s="21" t="inlineStr">
        <is>
          <t>https://guiarsanrafael.com.ar/empresa/barberia-argento/</t>
        </is>
      </c>
    </row>
    <row r="149">
      <c r="A149" s="22" t="n">
        <v>148</v>
      </c>
      <c r="B149" s="23" t="inlineStr">
        <is>
          <t>Barbod Viñuela María Laura</t>
        </is>
      </c>
      <c r="C149" s="12" t="inlineStr">
        <is>
          <t>Abogados abogadas estudios juridicos</t>
        </is>
      </c>
      <c r="D149" s="12" t="inlineStr">
        <is>
          <t>Abogadas</t>
        </is>
      </c>
      <c r="E149" s="22" t="n">
        <v>112</v>
      </c>
      <c r="F149" s="22" t="n">
        <v>7193</v>
      </c>
      <c r="G149" s="24" t="inlineStr">
        <is>
          <t>https://guiarsanrafael.com.ar/empresa/barbod-vinuela-maria-laura/</t>
        </is>
      </c>
    </row>
    <row r="150">
      <c r="A150" s="19" t="n">
        <v>149</v>
      </c>
      <c r="B150" s="20" t="inlineStr">
        <is>
          <t>BARCHIESI BOMBAS</t>
        </is>
      </c>
      <c r="C150" s="14" t="inlineStr">
        <is>
          <t>Bombas de agua riego</t>
        </is>
      </c>
      <c r="D150" s="14" t="inlineStr">
        <is>
          <t>Bombas de agua</t>
        </is>
      </c>
      <c r="E150" s="19" t="n">
        <v>129</v>
      </c>
      <c r="F150" s="19" t="n">
        <v>6410</v>
      </c>
      <c r="G150" s="21" t="inlineStr">
        <is>
          <t>https://guiarsanrafael.com.ar/empresa/barchiesi-bombas/</t>
        </is>
      </c>
    </row>
    <row r="151">
      <c r="A151" s="22" t="n">
        <v>150</v>
      </c>
      <c r="B151" s="23" t="inlineStr">
        <is>
          <t>BAROLO Octavio Paulo</t>
        </is>
      </c>
      <c r="C151" s="12" t="inlineStr">
        <is>
          <t>Escribanias escribanos escribanas mandatario mandataria notarios notarias</t>
        </is>
      </c>
      <c r="D151" s="12" t="inlineStr">
        <is>
          <t>Escribanias</t>
        </is>
      </c>
      <c r="E151" s="22" t="n">
        <v>87</v>
      </c>
      <c r="F151" s="22" t="n">
        <v>8151</v>
      </c>
      <c r="G151" s="24" t="inlineStr">
        <is>
          <t>https://guiarsanrafael.com.ar/empresa/barolo-octavio-paulo/</t>
        </is>
      </c>
    </row>
    <row r="152">
      <c r="A152" s="19" t="n">
        <v>151</v>
      </c>
      <c r="B152" s="20" t="inlineStr">
        <is>
          <t>BARRIOS &amp; ASOCIADOS Inmobiliaria</t>
        </is>
      </c>
      <c r="C152" s="14" t="inlineStr">
        <is>
          <t>Administraciones alquileres inmobiliarias</t>
        </is>
      </c>
      <c r="D152" s="14" t="inlineStr">
        <is>
          <t>Administraciones</t>
        </is>
      </c>
      <c r="E152" s="19" t="n">
        <v>62</v>
      </c>
      <c r="F152" s="19" t="n">
        <v>8684</v>
      </c>
      <c r="G152" s="21" t="inlineStr">
        <is>
          <t>https://guiarsanrafael.com.ar/empresa/barrios-asociados-inmobiliaria/</t>
        </is>
      </c>
    </row>
    <row r="153">
      <c r="A153" s="22" t="n">
        <v>152</v>
      </c>
      <c r="B153" s="23" t="inlineStr">
        <is>
          <t>Barroso David Alejandro</t>
        </is>
      </c>
      <c r="C153" s="12" t="inlineStr">
        <is>
          <t>Abogados abogadas estudios juridicos</t>
        </is>
      </c>
      <c r="D153" s="12" t="inlineStr">
        <is>
          <t>Abogadas</t>
        </is>
      </c>
      <c r="E153" s="22" t="n">
        <v>107</v>
      </c>
      <c r="F153" s="22" t="n">
        <v>7264</v>
      </c>
      <c r="G153" s="24" t="inlineStr">
        <is>
          <t>https://guiarsanrafael.com.ar/empresa/barroso-david-alejandro/</t>
        </is>
      </c>
    </row>
    <row r="154">
      <c r="A154" s="19" t="n">
        <v>153</v>
      </c>
      <c r="B154" s="20" t="inlineStr">
        <is>
          <t>BASÁN Cintia Vanesa</t>
        </is>
      </c>
      <c r="C154" s="14" t="inlineStr">
        <is>
          <t>Escribanias escribanos escribanas mandatario mandataria notarios notarias</t>
        </is>
      </c>
      <c r="D154" s="14" t="inlineStr">
        <is>
          <t>Escribanas</t>
        </is>
      </c>
      <c r="E154" s="19" t="n">
        <v>86</v>
      </c>
      <c r="F154" s="19" t="n">
        <v>8152</v>
      </c>
      <c r="G154" s="21" t="inlineStr">
        <is>
          <t>https://guiarsanrafael.com.ar/empresa/basan-cintia-vanesa/</t>
        </is>
      </c>
    </row>
    <row r="155">
      <c r="A155" s="22" t="n">
        <v>154</v>
      </c>
      <c r="B155" s="23" t="inlineStr">
        <is>
          <t>BATERIAS AGUIRRE</t>
        </is>
      </c>
      <c r="C155" s="12" t="inlineStr">
        <is>
          <t>Baterias</t>
        </is>
      </c>
      <c r="D155" s="12" t="inlineStr">
        <is>
          <t>Baterias</t>
        </is>
      </c>
      <c r="E155" s="22" t="n">
        <v>56</v>
      </c>
      <c r="F155" s="22" t="n">
        <v>9173</v>
      </c>
      <c r="G155" s="24" t="inlineStr">
        <is>
          <t>https://guiarsanrafael.com.ar/empresa/baterias-aguirre/</t>
        </is>
      </c>
    </row>
    <row r="156">
      <c r="A156" s="19" t="n">
        <v>155</v>
      </c>
      <c r="B156" s="20" t="inlineStr">
        <is>
          <t>Baterias Toledano</t>
        </is>
      </c>
      <c r="C156" s="14" t="inlineStr">
        <is>
          <t>Baterias</t>
        </is>
      </c>
      <c r="D156" s="14" t="inlineStr">
        <is>
          <t>Baterias</t>
        </is>
      </c>
      <c r="E156" s="19" t="n">
        <v>56</v>
      </c>
      <c r="F156" s="19" t="n">
        <v>9214</v>
      </c>
      <c r="G156" s="21" t="inlineStr">
        <is>
          <t>https://guiarsanrafael.com.ar/empresa/baterias-toledano/</t>
        </is>
      </c>
    </row>
    <row r="157">
      <c r="A157" s="22" t="n">
        <v>156</v>
      </c>
      <c r="B157" s="23" t="inlineStr">
        <is>
          <t>Baterías San Rafael</t>
        </is>
      </c>
      <c r="C157" s="12" t="inlineStr">
        <is>
          <t>Baterias</t>
        </is>
      </c>
      <c r="D157" s="12" t="inlineStr">
        <is>
          <t>Baterias</t>
        </is>
      </c>
      <c r="E157" s="22" t="n">
        <v>56</v>
      </c>
      <c r="F157" s="22" t="n">
        <v>9215</v>
      </c>
      <c r="G157" s="24" t="inlineStr">
        <is>
          <t>https://guiarsanrafael.com.ar/empresa/baterias-san-rafael/</t>
        </is>
      </c>
    </row>
    <row r="158">
      <c r="A158" s="19" t="n">
        <v>157</v>
      </c>
      <c r="B158" s="20" t="inlineStr">
        <is>
          <t>BATUKA Alimentos Balanceados</t>
        </is>
      </c>
      <c r="C158" s="14" t="inlineStr">
        <is>
          <t>Alimentos balanceados</t>
        </is>
      </c>
      <c r="D158" s="14" t="inlineStr">
        <is>
          <t>Alimentos balanceados</t>
        </is>
      </c>
      <c r="E158" s="19" t="n">
        <v>42</v>
      </c>
      <c r="F158" s="19" t="n">
        <v>9798</v>
      </c>
      <c r="G158" s="21" t="inlineStr">
        <is>
          <t>https://guiarsanrafael.com.ar/empresa/batuka-alimentos-balanceados/</t>
        </is>
      </c>
    </row>
    <row r="159">
      <c r="A159" s="22" t="n">
        <v>158</v>
      </c>
      <c r="B159" s="23" t="inlineStr">
        <is>
          <t>Bay Rodamientos</t>
        </is>
      </c>
      <c r="C159" s="12" t="inlineStr">
        <is>
          <t>Repuestos del automotor autopartes</t>
        </is>
      </c>
      <c r="D159" s="12" t="inlineStr">
        <is>
          <t>Autopartes</t>
        </is>
      </c>
      <c r="E159" s="22" t="n">
        <v>73</v>
      </c>
      <c r="F159" s="22" t="n">
        <v>8433</v>
      </c>
      <c r="G159" s="24" t="inlineStr">
        <is>
          <t>https://guiarsanrafael.com.ar/empresa/bay-rodamientos/</t>
        </is>
      </c>
    </row>
    <row r="160">
      <c r="A160" s="19" t="n">
        <v>159</v>
      </c>
      <c r="B160" s="20" t="inlineStr">
        <is>
          <t>Bayona Silvia B.</t>
        </is>
      </c>
      <c r="C160" s="14" t="inlineStr">
        <is>
          <t>Abogados abogadas estudios juridicos</t>
        </is>
      </c>
      <c r="D160" s="14" t="inlineStr">
        <is>
          <t>Abogadas</t>
        </is>
      </c>
      <c r="E160" s="19" t="n">
        <v>119</v>
      </c>
      <c r="F160" s="19" t="n">
        <v>7121</v>
      </c>
      <c r="G160" s="21" t="inlineStr">
        <is>
          <t>https://guiarsanrafael.com.ar/empresa/bayona-silvia-b/</t>
        </is>
      </c>
    </row>
    <row r="161">
      <c r="A161" s="22" t="n">
        <v>160</v>
      </c>
      <c r="B161" s="23" t="inlineStr">
        <is>
          <t>BAYONA Silvia Velia</t>
        </is>
      </c>
      <c r="C161" s="12" t="inlineStr">
        <is>
          <t>Escribanias escribanos escribanas mandatario mandataria notarios notarias</t>
        </is>
      </c>
      <c r="D161" s="12" t="inlineStr">
        <is>
          <t>Escribanas</t>
        </is>
      </c>
      <c r="E161" s="22" t="n">
        <v>86</v>
      </c>
      <c r="F161" s="22" t="n">
        <v>8153</v>
      </c>
      <c r="G161" s="24" t="inlineStr">
        <is>
          <t>https://guiarsanrafael.com.ar/empresa/bayona-silvia-velia/</t>
        </is>
      </c>
    </row>
    <row r="162">
      <c r="A162" s="19" t="n">
        <v>161</v>
      </c>
      <c r="B162" s="20" t="inlineStr">
        <is>
          <t>BAZAR LA CASA</t>
        </is>
      </c>
      <c r="C162" s="14" t="inlineStr">
        <is>
          <t>Articulos para el hogar bazar</t>
        </is>
      </c>
      <c r="D162" s="14" t="inlineStr">
        <is>
          <t>Articulos para el hogar</t>
        </is>
      </c>
      <c r="E162" s="19" t="n">
        <v>125</v>
      </c>
      <c r="F162" s="19" t="n">
        <v>6664</v>
      </c>
      <c r="G162" s="21" t="inlineStr">
        <is>
          <t>https://guiarsanrafael.com.ar/empresa/bazar-la-casa/</t>
        </is>
      </c>
    </row>
    <row r="163">
      <c r="A163" s="22" t="n">
        <v>162</v>
      </c>
      <c r="B163" s="23" t="inlineStr">
        <is>
          <t>BAZAR MAYOR Regalería &amp; Accesorios</t>
        </is>
      </c>
      <c r="C163" s="12" t="inlineStr">
        <is>
          <t>Articulos para el hogar bazar</t>
        </is>
      </c>
      <c r="D163" s="12" t="inlineStr">
        <is>
          <t>Articulos para el hogar</t>
        </is>
      </c>
      <c r="E163" s="22" t="n">
        <v>9</v>
      </c>
      <c r="F163" s="22" t="n">
        <v>13743</v>
      </c>
      <c r="G163" s="24" t="inlineStr">
        <is>
          <t>https://guiarsanrafael.com.ar/empresa/bazar-mayor/</t>
        </is>
      </c>
    </row>
    <row r="164">
      <c r="A164" s="19" t="n">
        <v>163</v>
      </c>
      <c r="B164" s="20" t="inlineStr">
        <is>
          <t>Bazzar Mayor</t>
        </is>
      </c>
      <c r="C164" s="14" t="inlineStr">
        <is>
          <t>Bazar regaleria</t>
        </is>
      </c>
      <c r="D164" s="14" t="inlineStr">
        <is>
          <t>Bazar regaleria</t>
        </is>
      </c>
      <c r="E164" s="19" t="n">
        <v>94</v>
      </c>
      <c r="F164" s="19" t="n">
        <v>7749</v>
      </c>
      <c r="G164" s="21" t="inlineStr">
        <is>
          <t>https://guiarsanrafael.com.ar/empresa/bazzar-mayor/</t>
        </is>
      </c>
    </row>
    <row r="165">
      <c r="A165" s="22" t="n">
        <v>164</v>
      </c>
      <c r="B165" s="23" t="inlineStr">
        <is>
          <t>BC Tapas Especiales</t>
        </is>
      </c>
      <c r="C165" s="12" t="inlineStr">
        <is>
          <t>Accesorios de competicion</t>
        </is>
      </c>
      <c r="D165" s="12" t="inlineStr">
        <is>
          <t>Accesorios de competicion</t>
        </is>
      </c>
      <c r="E165" s="22" t="n">
        <v>27</v>
      </c>
      <c r="F165" s="22" t="n">
        <v>11446</v>
      </c>
      <c r="G165" s="24" t="inlineStr">
        <is>
          <t>https://guiarsanrafael.com.ar/empresa/bc-tapas-especiales/</t>
        </is>
      </c>
    </row>
    <row r="166">
      <c r="A166" s="19" t="n">
        <v>165</v>
      </c>
      <c r="B166" s="20" t="inlineStr">
        <is>
          <t>Belen del Pilar Santiago</t>
        </is>
      </c>
      <c r="C166" s="14" t="inlineStr">
        <is>
          <t>Odontologia</t>
        </is>
      </c>
      <c r="D166" s="14" t="inlineStr">
        <is>
          <t>Odontologia</t>
        </is>
      </c>
      <c r="E166" s="19" t="n">
        <v>99</v>
      </c>
      <c r="F166" s="19" t="n">
        <v>7466</v>
      </c>
      <c r="G166" s="21" t="inlineStr">
        <is>
          <t>https://guiarsanrafael.com.ar/empresa/belen-del-pilar-santiago/</t>
        </is>
      </c>
    </row>
    <row r="167">
      <c r="A167" s="22" t="n">
        <v>166</v>
      </c>
      <c r="B167" s="23" t="inlineStr">
        <is>
          <t>BELEN Panadería Y Confitería</t>
        </is>
      </c>
      <c r="C167" s="12" t="inlineStr">
        <is>
          <t>Confiterias reposteria</t>
        </is>
      </c>
      <c r="D167" s="12" t="inlineStr">
        <is>
          <t>Confiteria</t>
        </is>
      </c>
      <c r="E167" s="22" t="n">
        <v>132</v>
      </c>
      <c r="F167" s="22" t="n">
        <v>6244</v>
      </c>
      <c r="G167" s="24" t="inlineStr">
        <is>
          <t>https://guiarsanrafael.com.ar/empresa/belen-panaderia-y-confiteria/</t>
        </is>
      </c>
    </row>
    <row r="168">
      <c r="A168" s="19" t="n">
        <v>167</v>
      </c>
      <c r="B168" s="20" t="inlineStr">
        <is>
          <t>BELGRANO REPUESTOS</t>
        </is>
      </c>
      <c r="C168" s="14" t="inlineStr">
        <is>
          <t>Autopartes</t>
        </is>
      </c>
      <c r="D168" s="14" t="inlineStr">
        <is>
          <t>Autopartes</t>
        </is>
      </c>
      <c r="E168" s="19" t="n">
        <v>138</v>
      </c>
      <c r="F168" s="19" t="n">
        <v>5805</v>
      </c>
      <c r="G168" s="21" t="inlineStr">
        <is>
          <t>https://guiarsanrafael.com.ar/empresa/belgrano-repuestos/</t>
        </is>
      </c>
    </row>
    <row r="169">
      <c r="A169" s="22" t="n">
        <v>168</v>
      </c>
      <c r="B169" s="23" t="inlineStr">
        <is>
          <t>BELÉN LUCERO Lady Barber</t>
        </is>
      </c>
      <c r="C169" s="12" t="inlineStr">
        <is>
          <t>Barberias peluqueria barberos</t>
        </is>
      </c>
      <c r="D169" s="12" t="inlineStr">
        <is>
          <t>Barberias</t>
        </is>
      </c>
      <c r="E169" s="22" t="n">
        <v>32</v>
      </c>
      <c r="F169" s="22" t="n">
        <v>10883</v>
      </c>
      <c r="G169" s="24" t="inlineStr">
        <is>
          <t>https://guiarsanrafael.com.ar/empresa/belen-lucero-lady-barber/</t>
        </is>
      </c>
    </row>
    <row r="170">
      <c r="A170" s="19" t="n">
        <v>169</v>
      </c>
      <c r="B170" s="20" t="inlineStr">
        <is>
          <t>Benelli Frascaroli Bikes</t>
        </is>
      </c>
      <c r="C170" s="14" t="inlineStr">
        <is>
          <t>Agencias de motos</t>
        </is>
      </c>
      <c r="D170" s="14" t="inlineStr">
        <is>
          <t>Agencias de motos</t>
        </is>
      </c>
      <c r="E170" s="19" t="n">
        <v>70</v>
      </c>
      <c r="F170" s="19" t="n">
        <v>8461</v>
      </c>
      <c r="G170" s="21" t="inlineStr">
        <is>
          <t>https://guiarsanrafael.com.ar/empresa/benelli-frascaroli-bikes/</t>
        </is>
      </c>
    </row>
    <row r="171">
      <c r="A171" s="22" t="n">
        <v>170</v>
      </c>
      <c r="B171" s="23" t="inlineStr">
        <is>
          <t>BERMEJO CAPUJ María Alejandra</t>
        </is>
      </c>
      <c r="C171" s="12" t="inlineStr">
        <is>
          <t>Escribanias escribanos escribanas mandatario mandataria notarios notarias</t>
        </is>
      </c>
      <c r="D171" s="12" t="inlineStr">
        <is>
          <t>Escribanas</t>
        </is>
      </c>
      <c r="E171" s="22" t="n">
        <v>86</v>
      </c>
      <c r="F171" s="22" t="n">
        <v>8154</v>
      </c>
      <c r="G171" s="24" t="inlineStr">
        <is>
          <t>https://guiarsanrafael.com.ar/empresa/bermejo-capuj-maria-alejandra/</t>
        </is>
      </c>
    </row>
    <row r="172">
      <c r="A172" s="19" t="n">
        <v>171</v>
      </c>
      <c r="B172" s="20" t="inlineStr">
        <is>
          <t>Bermudez Repuestos</t>
        </is>
      </c>
      <c r="C172" s="14" t="inlineStr">
        <is>
          <t>Repuestos del automotor autopartes</t>
        </is>
      </c>
      <c r="D172" s="14" t="inlineStr">
        <is>
          <t>Repuestos del automotor</t>
        </is>
      </c>
      <c r="E172" s="19" t="n">
        <v>75</v>
      </c>
      <c r="F172" s="19" t="n">
        <v>8402</v>
      </c>
      <c r="G172" s="21" t="inlineStr">
        <is>
          <t>https://guiarsanrafael.com.ar/empresa/bermudez-repuestos/</t>
        </is>
      </c>
    </row>
    <row r="173">
      <c r="A173" s="22" t="n">
        <v>172</v>
      </c>
      <c r="B173" s="23" t="inlineStr">
        <is>
          <t>BERNARDI Servicio de Frenos</t>
        </is>
      </c>
      <c r="C173" s="12" t="inlineStr">
        <is>
          <t>Frenos taller repuestos</t>
        </is>
      </c>
      <c r="D173" s="12" t="inlineStr">
        <is>
          <t>Frenos</t>
        </is>
      </c>
      <c r="E173" s="22" t="n">
        <v>62</v>
      </c>
      <c r="F173" s="22" t="n">
        <v>8747</v>
      </c>
      <c r="G173" s="24" t="inlineStr">
        <is>
          <t>https://guiarsanrafael.com.ar/empresa/bernardi-servicio-de-frenos/</t>
        </is>
      </c>
    </row>
    <row r="174">
      <c r="A174" s="19" t="n">
        <v>173</v>
      </c>
      <c r="B174" s="20" t="inlineStr">
        <is>
          <t>Bernardo  Sumarán</t>
        </is>
      </c>
      <c r="C174" s="14" t="inlineStr">
        <is>
          <t>Odontologia</t>
        </is>
      </c>
      <c r="D174" s="14" t="inlineStr">
        <is>
          <t>Odontologia</t>
        </is>
      </c>
      <c r="E174" s="19" t="n">
        <v>99</v>
      </c>
      <c r="F174" s="19" t="n">
        <v>7469</v>
      </c>
      <c r="G174" s="21" t="inlineStr">
        <is>
          <t>https://guiarsanrafael.com.ar/empresa/bernardo-sumaran/</t>
        </is>
      </c>
    </row>
    <row r="175">
      <c r="A175" s="22" t="n">
        <v>174</v>
      </c>
      <c r="B175" s="23" t="inlineStr">
        <is>
          <t>Bernués María Florencia</t>
        </is>
      </c>
      <c r="C175" s="12" t="inlineStr">
        <is>
          <t>Abogados abogadas estudios juridicos</t>
        </is>
      </c>
      <c r="D175" s="12" t="inlineStr">
        <is>
          <t>Abogadas</t>
        </is>
      </c>
      <c r="E175" s="22" t="n">
        <v>112</v>
      </c>
      <c r="F175" s="22" t="n">
        <v>7201</v>
      </c>
      <c r="G175" s="24" t="inlineStr">
        <is>
          <t>https://guiarsanrafael.com.ar/empresa/bernuesmaria-florencia/</t>
        </is>
      </c>
    </row>
    <row r="176">
      <c r="A176" s="19" t="n">
        <v>175</v>
      </c>
      <c r="B176" s="20" t="inlineStr">
        <is>
          <t>BERTA Despensa de Vinos</t>
        </is>
      </c>
      <c r="C176" s="14" t="inlineStr">
        <is>
          <t>Tinenda de bebidas vinotecas licores</t>
        </is>
      </c>
      <c r="D176" s="14" t="inlineStr">
        <is>
          <t>Tienda de bebidas</t>
        </is>
      </c>
      <c r="E176" s="19" t="n">
        <v>52</v>
      </c>
      <c r="F176" s="19" t="n">
        <v>9319</v>
      </c>
      <c r="G176" s="21" t="inlineStr">
        <is>
          <t>https://guiarsanrafael.com.ar/empresa/berta-despensa-de-vinos/</t>
        </is>
      </c>
    </row>
    <row r="177">
      <c r="A177" s="22" t="n">
        <v>176</v>
      </c>
      <c r="B177" s="23" t="inlineStr">
        <is>
          <t>Bertero Verónica Mariel</t>
        </is>
      </c>
      <c r="C177" s="12" t="inlineStr">
        <is>
          <t>Abogados abogadas estudios juridicos</t>
        </is>
      </c>
      <c r="D177" s="12" t="inlineStr">
        <is>
          <t>Abogadas</t>
        </is>
      </c>
      <c r="E177" s="22" t="n">
        <v>113</v>
      </c>
      <c r="F177" s="22" t="n">
        <v>7192</v>
      </c>
      <c r="G177" s="24" t="inlineStr">
        <is>
          <t>https://guiarsanrafael.com.ar/empresa/bertero-veronica-mariel/</t>
        </is>
      </c>
    </row>
    <row r="178">
      <c r="A178" s="19" t="n">
        <v>177</v>
      </c>
      <c r="B178" s="20" t="inlineStr">
        <is>
          <t>Betiana Sánchez</t>
        </is>
      </c>
      <c r="C178" s="14" t="inlineStr">
        <is>
          <t>Terapia ocupacional terapista</t>
        </is>
      </c>
      <c r="D178" s="14" t="inlineStr">
        <is>
          <t>Terapista ocupacional</t>
        </is>
      </c>
      <c r="E178" s="19" t="n">
        <v>142</v>
      </c>
      <c r="F178" s="19" t="n">
        <v>5533</v>
      </c>
      <c r="G178" s="21" t="inlineStr">
        <is>
          <t>https://guiarsanrafael.com.ar/empresa/betiana-sanchez/</t>
        </is>
      </c>
    </row>
    <row r="179">
      <c r="A179" s="22" t="n">
        <v>178</v>
      </c>
      <c r="B179" s="23" t="inlineStr">
        <is>
          <t>BETO Repuestos</t>
        </is>
      </c>
      <c r="C179" s="12" t="inlineStr">
        <is>
          <t>Electricidad del automotor</t>
        </is>
      </c>
      <c r="D179" s="12" t="inlineStr">
        <is>
          <t>Autopartes</t>
        </is>
      </c>
      <c r="E179" s="22" t="n">
        <v>76</v>
      </c>
      <c r="F179" s="22" t="n">
        <v>8383</v>
      </c>
      <c r="G179" s="24" t="inlineStr">
        <is>
          <t>https://guiarsanrafael.com.ar/empresa/beto-repuestos/</t>
        </is>
      </c>
    </row>
    <row r="180">
      <c r="A180" s="19" t="n">
        <v>179</v>
      </c>
      <c r="B180" s="20" t="inlineStr">
        <is>
          <t>Biagini Mariela Adriana</t>
        </is>
      </c>
      <c r="C180" s="14" t="inlineStr">
        <is>
          <t>Abogados abogadas estudios juridicos</t>
        </is>
      </c>
      <c r="D180" s="14" t="inlineStr">
        <is>
          <t>Abogadas</t>
        </is>
      </c>
      <c r="E180" s="19" t="n">
        <v>114</v>
      </c>
      <c r="F180" s="19" t="n">
        <v>7177</v>
      </c>
      <c r="G180" s="21" t="inlineStr">
        <is>
          <t>https://guiarsanrafael.com.ar/empresa/biagini-mariela-adriana/</t>
        </is>
      </c>
    </row>
    <row r="181">
      <c r="A181" s="22" t="n">
        <v>180</v>
      </c>
      <c r="B181" s="23" t="inlineStr">
        <is>
          <t>BICIMANIA Tienda de Bicicletas</t>
        </is>
      </c>
      <c r="C181" s="12" t="inlineStr">
        <is>
          <t>Accesorios deportivos</t>
        </is>
      </c>
      <c r="D181" s="12" t="inlineStr">
        <is>
          <t>Accesorios deportivos</t>
        </is>
      </c>
      <c r="E181" s="22" t="n">
        <v>31</v>
      </c>
      <c r="F181" s="22" t="n">
        <v>10932</v>
      </c>
      <c r="G181" s="24" t="inlineStr">
        <is>
          <t>https://guiarsanrafael.com.ar/empresa/bicimania-tienda-de-bicicletas/</t>
        </is>
      </c>
    </row>
    <row r="182">
      <c r="A182" s="19" t="n">
        <v>181</v>
      </c>
      <c r="B182" s="20" t="inlineStr">
        <is>
          <t>Bielli María Fernada</t>
        </is>
      </c>
      <c r="C182" s="14" t="inlineStr">
        <is>
          <t>Abogados abogadas estudios juridicos</t>
        </is>
      </c>
      <c r="D182" s="14" t="inlineStr">
        <is>
          <t>Abogadas</t>
        </is>
      </c>
      <c r="E182" s="19" t="n">
        <v>118</v>
      </c>
      <c r="F182" s="19" t="n">
        <v>7129</v>
      </c>
      <c r="G182" s="21" t="inlineStr">
        <is>
          <t>https://guiarsanrafael.com.ar/empresa/bielli-maria-fernada/</t>
        </is>
      </c>
    </row>
    <row r="183">
      <c r="A183" s="22" t="n">
        <v>182</v>
      </c>
      <c r="B183" s="23" t="inlineStr">
        <is>
          <t>BIERO Draft Beer</t>
        </is>
      </c>
      <c r="C183" s="12" t="inlineStr">
        <is>
          <t>Restaurantes parrilas</t>
        </is>
      </c>
      <c r="D183" s="12" t="inlineStr">
        <is>
          <t>Restaurantes</t>
        </is>
      </c>
      <c r="E183" s="22" t="n">
        <v>37</v>
      </c>
      <c r="F183" s="22" t="n">
        <v>10262</v>
      </c>
      <c r="G183" s="24" t="inlineStr">
        <is>
          <t>https://guiarsanrafael.com.ar/empresa/biero-draft-beer/</t>
        </is>
      </c>
    </row>
    <row r="184">
      <c r="A184" s="19" t="n">
        <v>183</v>
      </c>
      <c r="B184" s="20" t="inlineStr">
        <is>
          <t>Big Bon</t>
        </is>
      </c>
      <c r="C184" s="14" t="inlineStr">
        <is>
          <t>Restaurantes parrilas</t>
        </is>
      </c>
      <c r="D184" s="14" t="inlineStr">
        <is>
          <t>Restaurantes</t>
        </is>
      </c>
      <c r="E184" s="19" t="n">
        <v>37</v>
      </c>
      <c r="F184" s="19" t="n">
        <v>10264</v>
      </c>
      <c r="G184" s="21" t="inlineStr">
        <is>
          <t>https://guiarsanrafael.com.ar/empresa/big-bon/</t>
        </is>
      </c>
    </row>
    <row r="185">
      <c r="A185" s="22" t="n">
        <v>184</v>
      </c>
      <c r="B185" s="23" t="inlineStr">
        <is>
          <t>BIG CELL Servicio &amp; Telefonía</t>
        </is>
      </c>
      <c r="C185" s="12" t="inlineStr">
        <is>
          <t>Accesorios de telefonia celular</t>
        </is>
      </c>
      <c r="D185" s="12" t="inlineStr">
        <is>
          <t>Servicio tecnico</t>
        </is>
      </c>
      <c r="E185" s="22" t="n">
        <v>122</v>
      </c>
      <c r="F185" s="22" t="n">
        <v>6940</v>
      </c>
      <c r="G185" s="24" t="inlineStr">
        <is>
          <t>https://guiarsanrafael.com.ar/empresa/big-cell-servicio-telefonia/</t>
        </is>
      </c>
    </row>
    <row r="186">
      <c r="A186" s="19" t="n">
        <v>185</v>
      </c>
      <c r="B186" s="20" t="inlineStr">
        <is>
          <t>Big Oil  Lubricantes</t>
        </is>
      </c>
      <c r="C186" s="14" t="inlineStr">
        <is>
          <t>Lubricantes aceites lubricentro</t>
        </is>
      </c>
      <c r="D186" s="14" t="inlineStr">
        <is>
          <t>Lubricantes</t>
        </is>
      </c>
      <c r="E186" s="19" t="n">
        <v>50</v>
      </c>
      <c r="F186" s="19" t="n">
        <v>9363</v>
      </c>
      <c r="G186" s="21" t="inlineStr">
        <is>
          <t>https://guiarsanrafael.com.ar/empresa/big-oil-lubricantes/</t>
        </is>
      </c>
    </row>
    <row r="187">
      <c r="A187" s="22" t="n">
        <v>186</v>
      </c>
      <c r="B187" s="23" t="inlineStr">
        <is>
          <t>Bio Animal</t>
        </is>
      </c>
      <c r="C187" s="12" t="inlineStr">
        <is>
          <t>Farmacias</t>
        </is>
      </c>
      <c r="D187" s="12" t="inlineStr">
        <is>
          <t>Veterinarias</t>
        </is>
      </c>
      <c r="E187" s="22" t="n">
        <v>44</v>
      </c>
      <c r="F187" s="22" t="n">
        <v>9663</v>
      </c>
      <c r="G187" s="24" t="inlineStr">
        <is>
          <t>https://guiarsanrafael.com.ar/empresa/9663/</t>
        </is>
      </c>
    </row>
    <row r="188">
      <c r="A188" s="19" t="n">
        <v>187</v>
      </c>
      <c r="B188" s="20" t="inlineStr">
        <is>
          <t>BIO ANÁLISIS  Laboratorio</t>
        </is>
      </c>
      <c r="C188" s="14" t="inlineStr">
        <is>
          <t>Bioquimicos laboratorio</t>
        </is>
      </c>
      <c r="D188" s="14" t="inlineStr">
        <is>
          <t>Bioquimicos</t>
        </is>
      </c>
      <c r="E188" s="19" t="n">
        <v>43</v>
      </c>
      <c r="F188" s="19" t="n">
        <v>9781</v>
      </c>
      <c r="G188" s="21" t="inlineStr">
        <is>
          <t>https://guiarsanrafael.com.ar/empresa/bio-analisis-laboratorio/</t>
        </is>
      </c>
    </row>
    <row r="189">
      <c r="A189" s="22" t="n">
        <v>188</v>
      </c>
      <c r="B189" s="23" t="inlineStr">
        <is>
          <t>BIOCENTRO de Salud</t>
        </is>
      </c>
      <c r="C189" s="12" t="inlineStr">
        <is>
          <t>Consultorios medicos</t>
        </is>
      </c>
      <c r="D189" s="12" t="inlineStr">
        <is>
          <t>Consultorios medicos</t>
        </is>
      </c>
      <c r="E189" s="22" t="n">
        <v>39</v>
      </c>
      <c r="F189" s="22" t="n">
        <v>10135</v>
      </c>
      <c r="G189" s="24" t="inlineStr">
        <is>
          <t>https://guiarsanrafael.com.ar/empresa/biocentro-de-salud/</t>
        </is>
      </c>
    </row>
    <row r="190">
      <c r="A190" s="19" t="n">
        <v>189</v>
      </c>
      <c r="B190" s="20" t="inlineStr">
        <is>
          <t>BIOMED Centro Bioquímico y Medico</t>
        </is>
      </c>
      <c r="C190" s="14" t="inlineStr">
        <is>
          <t>Bioquimicos laboratorio</t>
        </is>
      </c>
      <c r="D190" s="14" t="inlineStr">
        <is>
          <t>Bioquimicos</t>
        </is>
      </c>
      <c r="E190" s="19" t="n">
        <v>43</v>
      </c>
      <c r="F190" s="19" t="n">
        <v>9777</v>
      </c>
      <c r="G190" s="21" t="inlineStr">
        <is>
          <t>https://guiarsanrafael.com.ar/empresa/biomed-centro-bioquimico-y-medico/</t>
        </is>
      </c>
    </row>
    <row r="191">
      <c r="A191" s="22" t="n">
        <v>190</v>
      </c>
      <c r="B191" s="23" t="inlineStr">
        <is>
          <t>Bisceglia Bernardo A.</t>
        </is>
      </c>
      <c r="C191" s="12" t="inlineStr">
        <is>
          <t>Abogados abogadas estudios juridicos</t>
        </is>
      </c>
      <c r="D191" s="12" t="inlineStr">
        <is>
          <t>Abogadas</t>
        </is>
      </c>
      <c r="E191" s="22" t="n">
        <v>117</v>
      </c>
      <c r="F191" s="22" t="n">
        <v>7140</v>
      </c>
      <c r="G191" s="24" t="inlineStr">
        <is>
          <t>https://guiarsanrafael.com.ar/empresa/bisceglia-bernardo-a/</t>
        </is>
      </c>
    </row>
    <row r="192">
      <c r="A192" s="19" t="n">
        <v>191</v>
      </c>
      <c r="B192" s="20" t="inlineStr">
        <is>
          <t>BLASCO Daniela Guadalupe</t>
        </is>
      </c>
      <c r="C192" s="14" t="inlineStr">
        <is>
          <t>Escribanias escribanos escribanas mandatario mandataria notarios notarias</t>
        </is>
      </c>
      <c r="D192" s="14" t="inlineStr">
        <is>
          <t>Escribanas</t>
        </is>
      </c>
      <c r="E192" s="19" t="n">
        <v>86</v>
      </c>
      <c r="F192" s="19" t="n">
        <v>8156</v>
      </c>
      <c r="G192" s="21" t="inlineStr">
        <is>
          <t>https://guiarsanrafael.com.ar/empresa/blasco-daniela-guadalupe/</t>
        </is>
      </c>
    </row>
    <row r="193">
      <c r="A193" s="22" t="n">
        <v>192</v>
      </c>
      <c r="B193" s="23" t="inlineStr">
        <is>
          <t>Blaxon Steak House &amp; Bar</t>
        </is>
      </c>
      <c r="C193" s="12" t="inlineStr">
        <is>
          <t>Restaurantes parrilas</t>
        </is>
      </c>
      <c r="D193" s="12" t="inlineStr">
        <is>
          <t>Restaurantes</t>
        </is>
      </c>
      <c r="E193" s="22" t="n">
        <v>37</v>
      </c>
      <c r="F193" s="22" t="n">
        <v>10258</v>
      </c>
      <c r="G193" s="24" t="inlineStr">
        <is>
          <t>https://guiarsanrafael.com.ar/empresa/blaxon-steak-house-bar/</t>
        </is>
      </c>
    </row>
    <row r="194">
      <c r="A194" s="19" t="n">
        <v>193</v>
      </c>
      <c r="B194" s="20" t="inlineStr">
        <is>
          <t>BLEND Espacios Verdes</t>
        </is>
      </c>
      <c r="C194" s="14" t="inlineStr">
        <is>
          <t>Empresas de servicio</t>
        </is>
      </c>
      <c r="D194" s="14" t="inlineStr">
        <is>
          <t>Accesorios para piscinas</t>
        </is>
      </c>
      <c r="E194" s="19" t="n">
        <v>18</v>
      </c>
      <c r="F194" s="19" t="n">
        <v>12536</v>
      </c>
      <c r="G194" s="21" t="inlineStr">
        <is>
          <t>https://guiarsanrafael.com.ar/empresa/blend-espacios-verdes/</t>
        </is>
      </c>
    </row>
    <row r="195">
      <c r="A195" s="22" t="n">
        <v>194</v>
      </c>
      <c r="B195" s="23" t="inlineStr">
        <is>
          <t>BO Estudio Creativo</t>
        </is>
      </c>
      <c r="C195" s="12" t="inlineStr">
        <is>
          <t>Arquitetos arquitectura estudios tecnicos arquitecta</t>
        </is>
      </c>
      <c r="D195" s="12" t="inlineStr">
        <is>
          <t>Arquitectos</t>
        </is>
      </c>
      <c r="E195" s="22" t="n">
        <v>8</v>
      </c>
      <c r="F195" s="22" t="n">
        <v>14011</v>
      </c>
      <c r="G195" s="24" t="inlineStr">
        <is>
          <t>https://guiarsanrafael.com.ar/empresa/bo-estudio-creativo/</t>
        </is>
      </c>
    </row>
    <row r="196">
      <c r="A196" s="19" t="n">
        <v>195</v>
      </c>
      <c r="B196" s="20" t="inlineStr">
        <is>
          <t>Bodega 1920</t>
        </is>
      </c>
      <c r="C196" s="14" t="inlineStr">
        <is>
          <t>Bodegas vinedos fincas</t>
        </is>
      </c>
      <c r="D196" s="14" t="inlineStr">
        <is>
          <t>Bodegas y vinedos</t>
        </is>
      </c>
      <c r="E196" s="19" t="n">
        <v>47</v>
      </c>
      <c r="F196" s="19" t="n">
        <v>9437</v>
      </c>
      <c r="G196" s="21" t="inlineStr">
        <is>
          <t>https://guiarsanrafael.com.ar/empresa/bodega-1920/</t>
        </is>
      </c>
    </row>
    <row r="197">
      <c r="A197" s="22" t="n">
        <v>196</v>
      </c>
      <c r="B197" s="23" t="inlineStr">
        <is>
          <t>Bodega Bombal y Aldao</t>
        </is>
      </c>
      <c r="C197" s="12" t="inlineStr">
        <is>
          <t>Bodegas vinedos fincas</t>
        </is>
      </c>
      <c r="D197" s="12" t="inlineStr">
        <is>
          <t>Bodegas y vinedos</t>
        </is>
      </c>
      <c r="E197" s="22" t="n">
        <v>46</v>
      </c>
      <c r="F197" s="22" t="n">
        <v>9443</v>
      </c>
      <c r="G197" s="24" t="inlineStr">
        <is>
          <t>https://guiarsanrafael.com.ar/empresa/bodega-bombal-y-aldao/</t>
        </is>
      </c>
    </row>
    <row r="198">
      <c r="A198" s="19" t="n">
        <v>197</v>
      </c>
      <c r="B198" s="20" t="inlineStr">
        <is>
          <t>Bodega Boutique Ibarra</t>
        </is>
      </c>
      <c r="C198" s="14" t="inlineStr">
        <is>
          <t>Bodegas vinedos fincas</t>
        </is>
      </c>
      <c r="D198" s="14" t="inlineStr">
        <is>
          <t>Bodegas y vinedos</t>
        </is>
      </c>
      <c r="E198" s="19" t="n">
        <v>47</v>
      </c>
      <c r="F198" s="19" t="n">
        <v>9431</v>
      </c>
      <c r="G198" s="21" t="inlineStr">
        <is>
          <t>https://guiarsanrafael.com.ar/empresa/bodega-boutique-ibarra/</t>
        </is>
      </c>
    </row>
    <row r="199">
      <c r="A199" s="22" t="n">
        <v>198</v>
      </c>
      <c r="B199" s="23" t="inlineStr">
        <is>
          <t>Bodega Finca Cuadro Benegas</t>
        </is>
      </c>
      <c r="C199" s="12" t="inlineStr">
        <is>
          <t>Bodegas vinedos fincas</t>
        </is>
      </c>
      <c r="D199" s="12" t="inlineStr">
        <is>
          <t>Bodegas y vinedos</t>
        </is>
      </c>
      <c r="E199" s="22" t="n">
        <v>48</v>
      </c>
      <c r="F199" s="22" t="n">
        <v>9438</v>
      </c>
      <c r="G199" s="24" t="inlineStr">
        <is>
          <t>https://guiarsanrafael.com.ar/empresa/bodega-finca-cuadro-benegas/</t>
        </is>
      </c>
    </row>
    <row r="200">
      <c r="A200" s="19" t="n">
        <v>199</v>
      </c>
      <c r="B200" s="20" t="inlineStr">
        <is>
          <t>Bodega Finca El Nevado</t>
        </is>
      </c>
      <c r="C200" s="14" t="inlineStr">
        <is>
          <t>Bodegas vinedos fincas</t>
        </is>
      </c>
      <c r="D200" s="14" t="inlineStr">
        <is>
          <t>Bodegas y vinedos</t>
        </is>
      </c>
      <c r="E200" s="19" t="n">
        <v>47</v>
      </c>
      <c r="F200" s="19" t="n">
        <v>9435</v>
      </c>
      <c r="G200" s="21" t="inlineStr">
        <is>
          <t>https://guiarsanrafael.com.ar/empresa/bodega-finca-el-nevado/</t>
        </is>
      </c>
    </row>
    <row r="201">
      <c r="A201" s="22" t="n">
        <v>200</v>
      </c>
      <c r="B201" s="23" t="inlineStr">
        <is>
          <t>Bodega Goyenechea</t>
        </is>
      </c>
      <c r="C201" s="12" t="inlineStr">
        <is>
          <t>Bodegas vinedos fincas</t>
        </is>
      </c>
      <c r="D201" s="12" t="inlineStr">
        <is>
          <t>Bodegas y vinedos</t>
        </is>
      </c>
      <c r="E201" s="22" t="n">
        <v>48</v>
      </c>
      <c r="F201" s="22" t="n">
        <v>9440</v>
      </c>
      <c r="G201" s="24" t="inlineStr">
        <is>
          <t>https://guiarsanrafael.com.ar/empresa/bodega-goyenechea/</t>
        </is>
      </c>
    </row>
    <row r="202">
      <c r="A202" s="19" t="n">
        <v>201</v>
      </c>
      <c r="B202" s="20" t="inlineStr">
        <is>
          <t>Bodega la Vendimia Saicf</t>
        </is>
      </c>
      <c r="C202" s="14" t="inlineStr">
        <is>
          <t>Bodegas vinedos fincas</t>
        </is>
      </c>
      <c r="D202" s="14" t="inlineStr">
        <is>
          <t>Bodegas y vinedos</t>
        </is>
      </c>
      <c r="E202" s="19" t="n">
        <v>46</v>
      </c>
      <c r="F202" s="19" t="n">
        <v>9439</v>
      </c>
      <c r="G202" s="21" t="inlineStr">
        <is>
          <t>https://guiarsanrafael.com.ar/empresa/bodega-la-vendimia-saicf/</t>
        </is>
      </c>
    </row>
    <row r="203">
      <c r="A203" s="22" t="n">
        <v>202</v>
      </c>
      <c r="B203" s="23" t="inlineStr">
        <is>
          <t>Bodega Labiano</t>
        </is>
      </c>
      <c r="C203" s="12" t="inlineStr">
        <is>
          <t>Bodegas vinedos fincas</t>
        </is>
      </c>
      <c r="D203" s="12" t="inlineStr">
        <is>
          <t>Bodegas y vinedos</t>
        </is>
      </c>
      <c r="E203" s="22" t="n">
        <v>47</v>
      </c>
      <c r="F203" s="22" t="n">
        <v>9430</v>
      </c>
      <c r="G203" s="24" t="inlineStr">
        <is>
          <t>https://guiarsanrafael.com.ar/empresa/bodega-labiano/</t>
        </is>
      </c>
    </row>
    <row r="204">
      <c r="A204" s="19" t="n">
        <v>203</v>
      </c>
      <c r="B204" s="20" t="inlineStr">
        <is>
          <t>Bodega Mumm</t>
        </is>
      </c>
      <c r="C204" s="14" t="inlineStr">
        <is>
          <t>Bodegas vinedos fincas</t>
        </is>
      </c>
      <c r="D204" s="14" t="inlineStr">
        <is>
          <t>Bodegas y vinedos</t>
        </is>
      </c>
      <c r="E204" s="19" t="n">
        <v>46</v>
      </c>
      <c r="F204" s="19" t="n">
        <v>9444</v>
      </c>
      <c r="G204" s="21" t="inlineStr">
        <is>
          <t>https://guiarsanrafael.com.ar/empresa/bodega-mumm/</t>
        </is>
      </c>
    </row>
    <row r="205">
      <c r="A205" s="22" t="n">
        <v>204</v>
      </c>
      <c r="B205" s="23" t="inlineStr">
        <is>
          <t>BODEGA TERRA LOMBARDA</t>
        </is>
      </c>
      <c r="C205" s="12" t="inlineStr">
        <is>
          <t>Bodegas vinedos fincas</t>
        </is>
      </c>
      <c r="D205" s="12" t="inlineStr">
        <is>
          <t>Bodegas y vinedos</t>
        </is>
      </c>
      <c r="E205" s="22" t="n">
        <v>47</v>
      </c>
      <c r="F205" s="22" t="n">
        <v>9436</v>
      </c>
      <c r="G205" s="24" t="inlineStr">
        <is>
          <t>https://guiarsanrafael.com.ar/empresa/bodega-terra-lombarda/</t>
        </is>
      </c>
    </row>
    <row r="206">
      <c r="A206" s="19" t="n">
        <v>205</v>
      </c>
      <c r="B206" s="20" t="inlineStr">
        <is>
          <t>Bodega Tornaghi</t>
        </is>
      </c>
      <c r="C206" s="14" t="inlineStr">
        <is>
          <t>Bodegas vinedos fincas</t>
        </is>
      </c>
      <c r="D206" s="14" t="inlineStr">
        <is>
          <t>Bodegas y vinedos</t>
        </is>
      </c>
      <c r="E206" s="19" t="n">
        <v>47</v>
      </c>
      <c r="F206" s="19" t="n">
        <v>9427</v>
      </c>
      <c r="G206" s="21" t="inlineStr">
        <is>
          <t>https://guiarsanrafael.com.ar/empresa/bodega-tornaghi/</t>
        </is>
      </c>
    </row>
    <row r="207">
      <c r="A207" s="22" t="n">
        <v>206</v>
      </c>
      <c r="B207" s="23" t="inlineStr">
        <is>
          <t>Bodegas Bianchi</t>
        </is>
      </c>
      <c r="C207" s="12" t="inlineStr">
        <is>
          <t>Bodegas vinedos fincas</t>
        </is>
      </c>
      <c r="D207" s="12" t="inlineStr">
        <is>
          <t>Bodegas y vinedos</t>
        </is>
      </c>
      <c r="E207" s="22" t="n">
        <v>47</v>
      </c>
      <c r="F207" s="22" t="n">
        <v>9434</v>
      </c>
      <c r="G207" s="24" t="inlineStr">
        <is>
          <t>https://guiarsanrafael.com.ar/empresa/bodegas-bianchi/</t>
        </is>
      </c>
    </row>
    <row r="208">
      <c r="A208" s="19" t="n">
        <v>207</v>
      </c>
      <c r="B208" s="20" t="inlineStr">
        <is>
          <t>Bodegas Giaroli</t>
        </is>
      </c>
      <c r="C208" s="14" t="inlineStr">
        <is>
          <t>Bodegas vinedos fincas</t>
        </is>
      </c>
      <c r="D208" s="14" t="inlineStr">
        <is>
          <t>Bodegas y vinedos</t>
        </is>
      </c>
      <c r="E208" s="19" t="n">
        <v>48</v>
      </c>
      <c r="F208" s="19" t="n">
        <v>9442</v>
      </c>
      <c r="G208" s="21" t="inlineStr">
        <is>
          <t>https://guiarsanrafael.com.ar/empresa/bodegas-giaroli/</t>
        </is>
      </c>
    </row>
    <row r="209">
      <c r="A209" s="22" t="n">
        <v>208</v>
      </c>
      <c r="B209" s="23" t="inlineStr">
        <is>
          <t>BOGONI Natalia Ariadna</t>
        </is>
      </c>
      <c r="C209" s="12" t="inlineStr">
        <is>
          <t>Escribanias escribanos escribanas mandatario mandataria notarios notarias</t>
        </is>
      </c>
      <c r="D209" s="12" t="inlineStr">
        <is>
          <t>Escribanas</t>
        </is>
      </c>
      <c r="E209" s="22" t="n">
        <v>86</v>
      </c>
      <c r="F209" s="22" t="n">
        <v>8157</v>
      </c>
      <c r="G209" s="24" t="inlineStr">
        <is>
          <t>https://guiarsanrafael.com.ar/empresa/bogoni-natalia-ariadna/</t>
        </is>
      </c>
    </row>
    <row r="210">
      <c r="A210" s="19" t="n">
        <v>209</v>
      </c>
      <c r="B210" s="20" t="inlineStr">
        <is>
          <t>Bon Jour Panaderia</t>
        </is>
      </c>
      <c r="C210" s="14" t="inlineStr">
        <is>
          <t>Panaderias</t>
        </is>
      </c>
      <c r="D210" s="14" t="inlineStr">
        <is>
          <t>Panaderia</t>
        </is>
      </c>
      <c r="E210" s="19" t="n">
        <v>64</v>
      </c>
      <c r="F210" s="19" t="n">
        <v>8658</v>
      </c>
      <c r="G210" s="21" t="inlineStr">
        <is>
          <t>https://guiarsanrafael.com.ar/empresa/bon-jour-panaderia/</t>
        </is>
      </c>
    </row>
    <row r="211">
      <c r="A211" s="22" t="n">
        <v>210</v>
      </c>
      <c r="B211" s="23" t="inlineStr">
        <is>
          <t>Bonino Natalia</t>
        </is>
      </c>
      <c r="C211" s="12" t="inlineStr">
        <is>
          <t>Abogados abogadas estudios juridicos</t>
        </is>
      </c>
      <c r="D211" s="12" t="inlineStr">
        <is>
          <t>Abogadas</t>
        </is>
      </c>
      <c r="E211" s="22" t="n">
        <v>114</v>
      </c>
      <c r="F211" s="22" t="n">
        <v>7172</v>
      </c>
      <c r="G211" s="24" t="inlineStr">
        <is>
          <t>https://guiarsanrafael.com.ar/empresa/bonino-natalia/</t>
        </is>
      </c>
    </row>
    <row r="212">
      <c r="A212" s="19" t="n">
        <v>211</v>
      </c>
      <c r="B212" s="20" t="inlineStr">
        <is>
          <t>BRENDA ANGRIMAN</t>
        </is>
      </c>
      <c r="C212" s="14" t="inlineStr">
        <is>
          <t>Psicologia</t>
        </is>
      </c>
      <c r="D212" s="14" t="inlineStr">
        <is>
          <t>Psicologia</t>
        </is>
      </c>
      <c r="E212" s="19" t="n">
        <v>143</v>
      </c>
      <c r="F212" s="19" t="n">
        <v>5518</v>
      </c>
      <c r="G212" s="21" t="inlineStr">
        <is>
          <t>https://guiarsanrafael.com.ar/empresa/brenda-angriman/</t>
        </is>
      </c>
    </row>
    <row r="213">
      <c r="A213" s="22" t="n">
        <v>212</v>
      </c>
      <c r="B213" s="23" t="inlineStr">
        <is>
          <t>Brenda Verón</t>
        </is>
      </c>
      <c r="C213" s="12" t="inlineStr">
        <is>
          <t>Kinesiologia y fisioterapia</t>
        </is>
      </c>
      <c r="D213" s="12" t="inlineStr">
        <is>
          <t>Kinesiologia y fisioterapia</t>
        </is>
      </c>
      <c r="E213" s="22" t="n">
        <v>151</v>
      </c>
      <c r="F213" s="22" t="n">
        <v>5403</v>
      </c>
      <c r="G213" s="24" t="inlineStr">
        <is>
          <t>https://guiarsanrafael.com.ar/empresa/brenda-veron/</t>
        </is>
      </c>
    </row>
    <row r="214">
      <c r="A214" s="19" t="n">
        <v>213</v>
      </c>
      <c r="B214" s="20" t="inlineStr">
        <is>
          <t>BRESSAN GUTIERREZ Juan Ignacio</t>
        </is>
      </c>
      <c r="C214" s="14" t="inlineStr">
        <is>
          <t>Escribanias escribanos escribanas mandatario mandataria notarios notarias</t>
        </is>
      </c>
      <c r="D214" s="14" t="inlineStr">
        <is>
          <t>Escribanias</t>
        </is>
      </c>
      <c r="E214" s="19" t="n">
        <v>86</v>
      </c>
      <c r="F214" s="19" t="n">
        <v>8160</v>
      </c>
      <c r="G214" s="21" t="inlineStr">
        <is>
          <t>https://guiarsanrafael.com.ar/empresa/bressan-gutierrez-juan-ignacio/</t>
        </is>
      </c>
    </row>
    <row r="215">
      <c r="A215" s="22" t="n">
        <v>214</v>
      </c>
      <c r="B215" s="23" t="inlineStr">
        <is>
          <t>BRESSAN Pablo Enrique</t>
        </is>
      </c>
      <c r="C215" s="12" t="inlineStr">
        <is>
          <t>Escribanias escribanos escribanas mandatario mandataria notarios notarias</t>
        </is>
      </c>
      <c r="D215" s="12" t="inlineStr">
        <is>
          <t>Escribanias</t>
        </is>
      </c>
      <c r="E215" s="22" t="n">
        <v>86</v>
      </c>
      <c r="F215" s="22" t="n">
        <v>8158</v>
      </c>
      <c r="G215" s="24" t="inlineStr">
        <is>
          <t>https://guiarsanrafael.com.ar/empresa/bressan-pablo-enrique/</t>
        </is>
      </c>
    </row>
    <row r="216">
      <c r="A216" s="19" t="n">
        <v>215</v>
      </c>
      <c r="B216" s="20" t="inlineStr">
        <is>
          <t>BRESSAN Silvina</t>
        </is>
      </c>
      <c r="C216" s="14" t="inlineStr">
        <is>
          <t>Escribanias escribanos escribanas mandatario mandataria notarios notarias</t>
        </is>
      </c>
      <c r="D216" s="14" t="inlineStr">
        <is>
          <t>Escribanas</t>
        </is>
      </c>
      <c r="E216" s="19" t="n">
        <v>86</v>
      </c>
      <c r="F216" s="19" t="n">
        <v>8159</v>
      </c>
      <c r="G216" s="21" t="inlineStr">
        <is>
          <t>https://guiarsanrafael.com.ar/empresa/bressan-silvina/</t>
        </is>
      </c>
    </row>
    <row r="217">
      <c r="A217" s="22" t="n">
        <v>216</v>
      </c>
      <c r="B217" s="23" t="inlineStr">
        <is>
          <t>BRILLA el lugar de tu evento</t>
        </is>
      </c>
      <c r="C217" s="12" t="inlineStr">
        <is>
          <t>Eventos</t>
        </is>
      </c>
      <c r="D217" s="12" t="inlineStr">
        <is>
          <t>Catering</t>
        </is>
      </c>
      <c r="E217" s="22" t="n">
        <v>15</v>
      </c>
      <c r="F217" s="22" t="n">
        <v>12753</v>
      </c>
      <c r="G217" s="24" t="inlineStr">
        <is>
          <t>https://guiarsanrafael.com.ar/empresa/brilla-el-lugar-de-tu-evento/</t>
        </is>
      </c>
    </row>
    <row r="218">
      <c r="A218" s="19" t="n">
        <v>217</v>
      </c>
      <c r="B218" s="20" t="inlineStr">
        <is>
          <t>BROS ADN BURGUER</t>
        </is>
      </c>
      <c r="C218" s="14" t="inlineStr">
        <is>
          <t>Casa de comidas rotiseria viandas</t>
        </is>
      </c>
      <c r="D218" s="14" t="inlineStr">
        <is>
          <t>Casa de comidas</t>
        </is>
      </c>
      <c r="E218" s="19" t="n">
        <v>66</v>
      </c>
      <c r="F218" s="19" t="n">
        <v>8559</v>
      </c>
      <c r="G218" s="21" t="inlineStr">
        <is>
          <t>https://guiarsanrafael.com.ar/empresa/bros-adn-burguer/</t>
        </is>
      </c>
    </row>
    <row r="219">
      <c r="A219" s="22" t="n">
        <v>218</v>
      </c>
      <c r="B219" s="23" t="inlineStr">
        <is>
          <t>Bruni Aventura</t>
        </is>
      </c>
      <c r="C219" s="12" t="inlineStr">
        <is>
          <t>Turismo aventura</t>
        </is>
      </c>
      <c r="D219" s="12" t="inlineStr">
        <is>
          <t>Agencias de viajes</t>
        </is>
      </c>
      <c r="E219" s="22" t="n">
        <v>94</v>
      </c>
      <c r="F219" s="22" t="n">
        <v>7800</v>
      </c>
      <c r="G219" s="24" t="inlineStr">
        <is>
          <t>https://guiarsanrafael.com.ar/empresa/bruni-aventura/</t>
        </is>
      </c>
    </row>
    <row r="220">
      <c r="A220" s="19" t="n">
        <v>219</v>
      </c>
      <c r="B220" s="20" t="inlineStr">
        <is>
          <t>BRUNO BOROVINA</t>
        </is>
      </c>
      <c r="C220" s="14" t="inlineStr">
        <is>
          <t>Cardiologia medico cardiologo</t>
        </is>
      </c>
      <c r="D220" s="14" t="inlineStr">
        <is>
          <t>Cardiologia</t>
        </is>
      </c>
      <c r="E220" s="19" t="n">
        <v>124</v>
      </c>
      <c r="F220" s="19" t="n">
        <v>6752</v>
      </c>
      <c r="G220" s="21" t="inlineStr">
        <is>
          <t>https://guiarsanrafael.com.ar/empresa/bruno-borovina/</t>
        </is>
      </c>
    </row>
    <row r="221">
      <c r="A221" s="22" t="n">
        <v>220</v>
      </c>
      <c r="B221" s="23" t="inlineStr">
        <is>
          <t>BRUNO PIASTRELLINI</t>
        </is>
      </c>
      <c r="C221" s="12" t="inlineStr">
        <is>
          <t>Implantes</t>
        </is>
      </c>
      <c r="D221" s="12" t="inlineStr">
        <is>
          <t>Odontologia</t>
        </is>
      </c>
      <c r="E221" s="22" t="n">
        <v>77</v>
      </c>
      <c r="F221" s="22" t="n">
        <v>8329</v>
      </c>
      <c r="G221" s="24" t="inlineStr">
        <is>
          <t>https://guiarsanrafael.com.ar/empresa/bruno-piastrellini/</t>
        </is>
      </c>
    </row>
    <row r="222">
      <c r="A222" s="19" t="n">
        <v>221</v>
      </c>
      <c r="B222" s="20" t="inlineStr">
        <is>
          <t>BUENA VIDA</t>
        </is>
      </c>
      <c r="C222" s="14" t="inlineStr">
        <is>
          <t>Barberias peluqueria barberos</t>
        </is>
      </c>
      <c r="D222" s="14" t="inlineStr">
        <is>
          <t>Barberias</t>
        </is>
      </c>
      <c r="E222" s="19" t="n">
        <v>9</v>
      </c>
      <c r="F222" s="19" t="n">
        <v>13891</v>
      </c>
      <c r="G222" s="21" t="inlineStr">
        <is>
          <t>https://guiarsanrafael.com.ar/empresa/buena-vida/</t>
        </is>
      </c>
    </row>
    <row r="223">
      <c r="A223" s="22" t="n">
        <v>222</v>
      </c>
      <c r="B223" s="23" t="inlineStr">
        <is>
          <t>BUENAS MADERAS Amoblamientos</t>
        </is>
      </c>
      <c r="C223" s="12" t="inlineStr">
        <is>
          <t>Amoblamientos</t>
        </is>
      </c>
      <c r="D223" s="12" t="inlineStr">
        <is>
          <t>Articulos para el hogar</t>
        </is>
      </c>
      <c r="E223" s="22" t="n">
        <v>17</v>
      </c>
      <c r="F223" s="22" t="n">
        <v>12568</v>
      </c>
      <c r="G223" s="24" t="inlineStr">
        <is>
          <t>https://guiarsanrafael.com.ar/empresa/buenas-maderas-amoblamientos/</t>
        </is>
      </c>
    </row>
    <row r="224">
      <c r="A224" s="19" t="n">
        <v>223</v>
      </c>
      <c r="B224" s="20" t="inlineStr">
        <is>
          <t>BULONES SARMIENTO</t>
        </is>
      </c>
      <c r="C224" s="14" t="inlineStr">
        <is>
          <t>Buloneras ferreterias</t>
        </is>
      </c>
      <c r="D224" s="14" t="inlineStr">
        <is>
          <t>Buloneras</t>
        </is>
      </c>
      <c r="E224" s="19" t="n">
        <v>88</v>
      </c>
      <c r="F224" s="19" t="n">
        <v>8000</v>
      </c>
      <c r="G224" s="21" t="inlineStr">
        <is>
          <t>https://guiarsanrafael.com.ar/empresa/bulones-sarmiento/</t>
        </is>
      </c>
    </row>
    <row r="225">
      <c r="A225" s="22" t="n">
        <v>224</v>
      </c>
      <c r="B225" s="23" t="inlineStr">
        <is>
          <t>BULOS Judit</t>
        </is>
      </c>
      <c r="C225" s="12" t="inlineStr">
        <is>
          <t>Escribanias escribanos escribanas mandatario mandataria notarios notarias</t>
        </is>
      </c>
      <c r="D225" s="12" t="inlineStr">
        <is>
          <t>Escribanas</t>
        </is>
      </c>
      <c r="E225" s="22" t="n">
        <v>86</v>
      </c>
      <c r="F225" s="22" t="n">
        <v>8161</v>
      </c>
      <c r="G225" s="24" t="inlineStr">
        <is>
          <t>https://guiarsanrafael.com.ar/empresa/bulos-judit/</t>
        </is>
      </c>
    </row>
    <row r="226">
      <c r="A226" s="19" t="n">
        <v>225</v>
      </c>
      <c r="B226" s="20" t="inlineStr">
        <is>
          <t>BURBUJA Artículos de Limpieza</t>
        </is>
      </c>
      <c r="C226" s="14" t="inlineStr">
        <is>
          <t>Articulos de limpieza todo suelto</t>
        </is>
      </c>
      <c r="D226" s="14" t="inlineStr">
        <is>
          <t>Articulos de limpieza</t>
        </is>
      </c>
      <c r="E226" s="19" t="n">
        <v>1</v>
      </c>
      <c r="F226" s="19" t="n">
        <v>15214</v>
      </c>
      <c r="G226" s="21" t="inlineStr">
        <is>
          <t>https://guiarsanrafael.com.ar/empresa/15214/</t>
        </is>
      </c>
    </row>
    <row r="227">
      <c r="A227" s="22" t="n">
        <v>226</v>
      </c>
      <c r="B227" s="23" t="inlineStr">
        <is>
          <t>Buscemi Martín J.</t>
        </is>
      </c>
      <c r="C227" s="12" t="inlineStr">
        <is>
          <t>Abogados abogadas estudios juridicos</t>
        </is>
      </c>
      <c r="D227" s="12" t="inlineStr">
        <is>
          <t>Abogados</t>
        </is>
      </c>
      <c r="E227" s="22" t="n">
        <v>119</v>
      </c>
      <c r="F227" s="22" t="n">
        <v>7122</v>
      </c>
      <c r="G227" s="24" t="inlineStr">
        <is>
          <t>https://guiarsanrafael.com.ar/empresa/buscemi-martin-j/</t>
        </is>
      </c>
    </row>
    <row r="228">
      <c r="A228" s="19" t="n">
        <v>227</v>
      </c>
      <c r="B228" s="20" t="inlineStr">
        <is>
          <t>Bustos Clarisa Noemí</t>
        </is>
      </c>
      <c r="C228" s="14" t="inlineStr">
        <is>
          <t>Abogados abogadas estudios juridicos</t>
        </is>
      </c>
      <c r="D228" s="14" t="inlineStr">
        <is>
          <t>Abogadas</t>
        </is>
      </c>
      <c r="E228" s="19" t="n">
        <v>116</v>
      </c>
      <c r="F228" s="19" t="n">
        <v>7154</v>
      </c>
      <c r="G228" s="21" t="inlineStr">
        <is>
          <t>https://guiarsanrafael.com.ar/empresa/bustos-clarisa-noemi/</t>
        </is>
      </c>
    </row>
    <row r="229">
      <c r="A229" s="22" t="n">
        <v>228</v>
      </c>
      <c r="B229" s="23" t="inlineStr">
        <is>
          <t>Buxó Muebles</t>
        </is>
      </c>
      <c r="C229" s="12" t="inlineStr">
        <is>
          <t>Mueblerias muebles de oficina</t>
        </is>
      </c>
      <c r="D229" s="12" t="inlineStr">
        <is>
          <t>Mueblerias</t>
        </is>
      </c>
      <c r="E229" s="22" t="n">
        <v>17</v>
      </c>
      <c r="F229" s="22" t="n">
        <v>12561</v>
      </c>
      <c r="G229" s="24" t="inlineStr">
        <is>
          <t>https://guiarsanrafael.com.ar/empresa/buxo-muebles/</t>
        </is>
      </c>
    </row>
    <row r="230">
      <c r="A230" s="19" t="n">
        <v>229</v>
      </c>
      <c r="B230" s="20" t="inlineStr">
        <is>
          <t>C y M Construcciones Y Montajes</t>
        </is>
      </c>
      <c r="C230" s="14" t="inlineStr">
        <is>
          <t>Constructoras</t>
        </is>
      </c>
      <c r="D230" s="14" t="inlineStr">
        <is>
          <t>Aberturas</t>
        </is>
      </c>
      <c r="E230" s="19" t="n">
        <v>170</v>
      </c>
      <c r="F230" s="19" t="n">
        <v>4533</v>
      </c>
      <c r="G230" s="21" t="inlineStr">
        <is>
          <t>https://guiarsanrafael.com.ar/empresa/c-y-m-construcciones-y-montajes/</t>
        </is>
      </c>
    </row>
    <row r="231">
      <c r="A231" s="22" t="n">
        <v>230</v>
      </c>
      <c r="B231" s="23" t="inlineStr">
        <is>
          <t>C. E. N. Centro de Estimulación Neurocognitiva</t>
        </is>
      </c>
      <c r="C231" s="12" t="inlineStr">
        <is>
          <t>Institutos terapeuticos</t>
        </is>
      </c>
      <c r="D231" s="12" t="inlineStr">
        <is>
          <t>Institutos terapeuticos institutos de rehabilitacion</t>
        </is>
      </c>
      <c r="E231" s="22" t="n">
        <v>19</v>
      </c>
      <c r="F231" s="22" t="n">
        <v>12362</v>
      </c>
      <c r="G231" s="24" t="inlineStr">
        <is>
          <t>https://guiarsanrafael.com.ar/empresa/c-e-n-centro-de-estimulacion-neurocognitiva/</t>
        </is>
      </c>
    </row>
    <row r="232">
      <c r="A232" s="19" t="n">
        <v>231</v>
      </c>
      <c r="B232" s="20" t="inlineStr">
        <is>
          <t>Cabañas Altos del Toledano</t>
        </is>
      </c>
      <c r="C232" s="14" t="inlineStr">
        <is>
          <t>Cabanas alquiler</t>
        </is>
      </c>
      <c r="D232" s="14" t="inlineStr">
        <is>
          <t>Alojamientos</t>
        </is>
      </c>
      <c r="E232" s="19" t="n">
        <v>91</v>
      </c>
      <c r="F232" s="19" t="n">
        <v>7861</v>
      </c>
      <c r="G232" s="21" t="inlineStr">
        <is>
          <t>https://guiarsanrafael.com.ar/empresa/cabanas-altos-del-toledano/</t>
        </is>
      </c>
    </row>
    <row r="233">
      <c r="A233" s="22" t="n">
        <v>232</v>
      </c>
      <c r="B233" s="23" t="inlineStr">
        <is>
          <t>Cabañas Calderon</t>
        </is>
      </c>
      <c r="C233" s="12" t="inlineStr">
        <is>
          <t>Cabanas alquiler</t>
        </is>
      </c>
      <c r="D233" s="12" t="inlineStr">
        <is>
          <t>Apart hotel</t>
        </is>
      </c>
      <c r="E233" s="22" t="n">
        <v>91</v>
      </c>
      <c r="F233" s="22" t="n">
        <v>7855</v>
      </c>
      <c r="G233" s="24" t="inlineStr">
        <is>
          <t>https://guiarsanrafael.com.ar/empresa/cabanas-calderon/</t>
        </is>
      </c>
    </row>
    <row r="234">
      <c r="A234" s="19" t="n">
        <v>233</v>
      </c>
      <c r="B234" s="20" t="inlineStr">
        <is>
          <t>Cabañas Canaan</t>
        </is>
      </c>
      <c r="C234" s="14" t="inlineStr">
        <is>
          <t>Alojamiento cabanas camping</t>
        </is>
      </c>
      <c r="D234" s="14" t="inlineStr">
        <is>
          <t>Alojamientos</t>
        </is>
      </c>
      <c r="E234" s="19" t="n">
        <v>59</v>
      </c>
      <c r="F234" s="19" t="n">
        <v>8939</v>
      </c>
      <c r="G234" s="21" t="inlineStr">
        <is>
          <t>https://guiarsanrafael.com.ar/empresa/cabanas-canaan/</t>
        </is>
      </c>
    </row>
    <row r="235">
      <c r="A235" s="22" t="n">
        <v>234</v>
      </c>
      <c r="B235" s="23" t="inlineStr">
        <is>
          <t>Cabañas Carü Leufu</t>
        </is>
      </c>
      <c r="C235" s="12" t="inlineStr">
        <is>
          <t>Alojamiento cabanas camping</t>
        </is>
      </c>
      <c r="D235" s="12" t="inlineStr">
        <is>
          <t>Alojamientos</t>
        </is>
      </c>
      <c r="E235" s="22" t="n">
        <v>93</v>
      </c>
      <c r="F235" s="22" t="n">
        <v>7819</v>
      </c>
      <c r="G235" s="24" t="inlineStr">
        <is>
          <t>https://guiarsanrafael.com.ar/empresa/cabanas-caru-leufu/</t>
        </is>
      </c>
    </row>
    <row r="236">
      <c r="A236" s="19" t="n">
        <v>235</v>
      </c>
      <c r="B236" s="20" t="inlineStr">
        <is>
          <t>Cabañas Cerro Encantado</t>
        </is>
      </c>
      <c r="C236" s="14" t="inlineStr">
        <is>
          <t>Alojamiento cabanas camping</t>
        </is>
      </c>
      <c r="D236" s="14" t="inlineStr">
        <is>
          <t>Alojamientos</t>
        </is>
      </c>
      <c r="E236" s="19" t="n">
        <v>91</v>
      </c>
      <c r="F236" s="19" t="n">
        <v>7859</v>
      </c>
      <c r="G236" s="21" t="inlineStr">
        <is>
          <t>https://guiarsanrafael.com.ar/empresa/cabanas-cerro-encantado/</t>
        </is>
      </c>
    </row>
    <row r="237">
      <c r="A237" s="22" t="n">
        <v>236</v>
      </c>
      <c r="B237" s="23" t="inlineStr">
        <is>
          <t>CABAÑAS DON NINO</t>
        </is>
      </c>
      <c r="C237" s="12" t="inlineStr">
        <is>
          <t>Alojamiento cabanas camping</t>
        </is>
      </c>
      <c r="D237" s="12" t="inlineStr">
        <is>
          <t>Alojamientos</t>
        </is>
      </c>
      <c r="E237" s="22" t="n">
        <v>90</v>
      </c>
      <c r="F237" s="22" t="n">
        <v>7888</v>
      </c>
      <c r="G237" s="24" t="inlineStr">
        <is>
          <t>https://guiarsanrafael.com.ar/empresa/cabanas-don-nino/</t>
        </is>
      </c>
    </row>
    <row r="238">
      <c r="A238" s="19" t="n">
        <v>237</v>
      </c>
      <c r="B238" s="20" t="inlineStr">
        <is>
          <t>CABAÑAS El Alamo Blanco</t>
        </is>
      </c>
      <c r="C238" s="14" t="inlineStr">
        <is>
          <t>Alojamiento cabanas camping</t>
        </is>
      </c>
      <c r="D238" s="14" t="inlineStr">
        <is>
          <t>Alojamientos</t>
        </is>
      </c>
      <c r="E238" s="19" t="n">
        <v>61</v>
      </c>
      <c r="F238" s="19" t="n">
        <v>8801</v>
      </c>
      <c r="G238" s="21" t="inlineStr">
        <is>
          <t>https://guiarsanrafael.com.ar/empresa/cabanas-el-alamo-blanco/</t>
        </is>
      </c>
    </row>
    <row r="239">
      <c r="A239" s="22" t="n">
        <v>238</v>
      </c>
      <c r="B239" s="23" t="inlineStr">
        <is>
          <t>Cabañas El Valle</t>
        </is>
      </c>
      <c r="C239" s="12" t="inlineStr">
        <is>
          <t>Alojamiento cabanas camping</t>
        </is>
      </c>
      <c r="D239" s="12" t="inlineStr">
        <is>
          <t>Alojamientos</t>
        </is>
      </c>
      <c r="E239" s="22" t="n">
        <v>91</v>
      </c>
      <c r="F239" s="22" t="n">
        <v>7857</v>
      </c>
      <c r="G239" s="24" t="inlineStr">
        <is>
          <t>https://guiarsanrafael.com.ar/empresa/cabanas-el-valle-2/</t>
        </is>
      </c>
    </row>
    <row r="240">
      <c r="A240" s="19" t="n">
        <v>239</v>
      </c>
      <c r="B240" s="20" t="inlineStr">
        <is>
          <t>Cabañas Río Soñado</t>
        </is>
      </c>
      <c r="C240" s="14" t="inlineStr">
        <is>
          <t>Cabanas alquiler</t>
        </is>
      </c>
      <c r="D240" s="14" t="inlineStr">
        <is>
          <t>Alojamientos</t>
        </is>
      </c>
      <c r="E240" s="19" t="n">
        <v>90</v>
      </c>
      <c r="F240" s="19" t="n">
        <v>7874</v>
      </c>
      <c r="G240" s="21" t="inlineStr">
        <is>
          <t>https://guiarsanrafael.com.ar/empresa/cabanas-rio-sonado/</t>
        </is>
      </c>
    </row>
    <row r="241">
      <c r="A241" s="22" t="n">
        <v>240</v>
      </c>
      <c r="B241" s="23" t="inlineStr">
        <is>
          <t>Cabañas Tierra Virgen</t>
        </is>
      </c>
      <c r="C241" s="12" t="inlineStr">
        <is>
          <t>Alojamiento cabanas camping</t>
        </is>
      </c>
      <c r="D241" s="12" t="inlineStr">
        <is>
          <t>Alojamientos</t>
        </is>
      </c>
      <c r="E241" s="22" t="n">
        <v>90</v>
      </c>
      <c r="F241" s="22" t="n">
        <v>7873</v>
      </c>
      <c r="G241" s="24" t="inlineStr">
        <is>
          <t>https://guiarsanrafael.com.ar/empresa/cabanas-tierra-virgen/</t>
        </is>
      </c>
    </row>
    <row r="242">
      <c r="A242" s="19" t="n">
        <v>241</v>
      </c>
      <c r="B242" s="20" t="inlineStr">
        <is>
          <t>Cabañas Villa de Lujan</t>
        </is>
      </c>
      <c r="C242" s="14" t="inlineStr">
        <is>
          <t>Cabanas alquiler</t>
        </is>
      </c>
      <c r="D242" s="14" t="inlineStr">
        <is>
          <t>Alojamientos</t>
        </is>
      </c>
      <c r="E242" s="19" t="n">
        <v>59</v>
      </c>
      <c r="F242" s="19" t="n">
        <v>8940</v>
      </c>
      <c r="G242" s="21" t="inlineStr">
        <is>
          <t>https://guiarsanrafael.com.ar/empresa/cabanas-villa-de-lujan-2/</t>
        </is>
      </c>
    </row>
    <row r="243">
      <c r="A243" s="22" t="n">
        <v>242</v>
      </c>
      <c r="B243" s="23" t="inlineStr">
        <is>
          <t>Cabañas Villa de Lujan</t>
        </is>
      </c>
      <c r="C243" s="12" t="inlineStr">
        <is>
          <t>Cabanas alquiler</t>
        </is>
      </c>
      <c r="D243" s="12" t="inlineStr">
        <is>
          <t>Alojamientos</t>
        </is>
      </c>
      <c r="E243" s="22" t="n">
        <v>90</v>
      </c>
      <c r="F243" s="22" t="n">
        <v>7864</v>
      </c>
      <c r="G243" s="24" t="inlineStr">
        <is>
          <t>https://guiarsanrafael.com.ar/empresa/cabanas-villa-de-lujan/</t>
        </is>
      </c>
    </row>
    <row r="244">
      <c r="A244" s="19" t="n">
        <v>243</v>
      </c>
      <c r="B244" s="20" t="inlineStr">
        <is>
          <t>Cabañas «El Valle»</t>
        </is>
      </c>
      <c r="C244" s="14" t="inlineStr">
        <is>
          <t>Alojamiento cabanas camping</t>
        </is>
      </c>
      <c r="D244" s="14" t="inlineStr">
        <is>
          <t>Alojamientos</t>
        </is>
      </c>
      <c r="E244" s="19" t="n">
        <v>93</v>
      </c>
      <c r="F244" s="19" t="n">
        <v>7818</v>
      </c>
      <c r="G244" s="21" t="inlineStr">
        <is>
          <t>https://guiarsanrafael.com.ar/empresa/cabanas-el-valle/</t>
        </is>
      </c>
    </row>
    <row r="245">
      <c r="A245" s="22" t="n">
        <v>244</v>
      </c>
      <c r="B245" s="23" t="inlineStr">
        <is>
          <t>CABRAL Daniela</t>
        </is>
      </c>
      <c r="C245" s="12" t="inlineStr">
        <is>
          <t>Escribanias escribanos escribanas mandatario mandataria notarios notarias</t>
        </is>
      </c>
      <c r="D245" s="12" t="inlineStr">
        <is>
          <t>Escribanas</t>
        </is>
      </c>
      <c r="E245" s="22" t="n">
        <v>86</v>
      </c>
      <c r="F245" s="22" t="n">
        <v>8162</v>
      </c>
      <c r="G245" s="24" t="inlineStr">
        <is>
          <t>https://guiarsanrafael.com.ar/empresa/cabral-daniela/</t>
        </is>
      </c>
    </row>
    <row r="246">
      <c r="A246" s="19" t="n">
        <v>245</v>
      </c>
      <c r="B246" s="20" t="inlineStr">
        <is>
          <t>Cabrera Silvia C.</t>
        </is>
      </c>
      <c r="C246" s="14" t="inlineStr">
        <is>
          <t>Abogados abogadas estudios juridicos</t>
        </is>
      </c>
      <c r="D246" s="14" t="inlineStr">
        <is>
          <t>Abogadas</t>
        </is>
      </c>
      <c r="E246" s="19" t="n">
        <v>117</v>
      </c>
      <c r="F246" s="19" t="n">
        <v>7137</v>
      </c>
      <c r="G246" s="21" t="inlineStr">
        <is>
          <t>https://guiarsanrafael.com.ar/empresa/cabrera-silvia-c/</t>
        </is>
      </c>
    </row>
    <row r="247">
      <c r="A247" s="22" t="n">
        <v>246</v>
      </c>
      <c r="B247" s="23" t="inlineStr">
        <is>
          <t>CAF Constructora</t>
        </is>
      </c>
      <c r="C247" s="12" t="inlineStr">
        <is>
          <t>Aislantes impemeabilizantes</t>
        </is>
      </c>
      <c r="D247" s="12" t="inlineStr">
        <is>
          <t>Aislantes 2</t>
        </is>
      </c>
      <c r="E247" s="22" t="n">
        <v>77</v>
      </c>
      <c r="F247" s="22" t="n">
        <v>8318</v>
      </c>
      <c r="G247" s="24" t="inlineStr">
        <is>
          <t>https://guiarsanrafael.com.ar/empresa/caf-constructora/</t>
        </is>
      </c>
    </row>
    <row r="248">
      <c r="A248" s="19" t="n">
        <v>247</v>
      </c>
      <c r="B248" s="20" t="inlineStr">
        <is>
          <t>CALMA S.A. Medicina Laboral</t>
        </is>
      </c>
      <c r="C248" s="14" t="inlineStr">
        <is>
          <t>Medicina laboral</t>
        </is>
      </c>
      <c r="D248" s="14" t="inlineStr">
        <is>
          <t>Medicina laboral</t>
        </is>
      </c>
      <c r="E248" s="19" t="n">
        <v>96</v>
      </c>
      <c r="F248" s="19" t="n">
        <v>7582</v>
      </c>
      <c r="G248" s="21" t="inlineStr">
        <is>
          <t>https://guiarsanrafael.com.ar/empresa/calma-s-a-medicina-laboral/</t>
        </is>
      </c>
    </row>
    <row r="249">
      <c r="A249" s="22" t="n">
        <v>248</v>
      </c>
      <c r="B249" s="23" t="inlineStr">
        <is>
          <t>Camargo	Andrea E.</t>
        </is>
      </c>
      <c r="C249" s="12" t="inlineStr">
        <is>
          <t>Abogados abogadas estudios juridicos</t>
        </is>
      </c>
      <c r="D249" s="12" t="inlineStr">
        <is>
          <t>Abogadas</t>
        </is>
      </c>
      <c r="E249" s="22" t="n">
        <v>119</v>
      </c>
      <c r="F249" s="22" t="n">
        <v>7116</v>
      </c>
      <c r="G249" s="24" t="inlineStr">
        <is>
          <t>https://guiarsanrafael.com.ar/empresa/camargoandrea-e/</t>
        </is>
      </c>
    </row>
    <row r="250">
      <c r="A250" s="19" t="n">
        <v>249</v>
      </c>
      <c r="B250" s="20" t="inlineStr">
        <is>
          <t>CAMERUCCI María Paola</t>
        </is>
      </c>
      <c r="C250" s="14" t="inlineStr">
        <is>
          <t>Escribanias escribanos escribanas mandatario mandataria notarios notarias</t>
        </is>
      </c>
      <c r="D250" s="14" t="inlineStr">
        <is>
          <t>Escribanas</t>
        </is>
      </c>
      <c r="E250" s="19" t="n">
        <v>85</v>
      </c>
      <c r="F250" s="19" t="n">
        <v>8163</v>
      </c>
      <c r="G250" s="21" t="inlineStr">
        <is>
          <t>https://guiarsanrafael.com.ar/empresa/camerucci-maria-paola/</t>
        </is>
      </c>
    </row>
    <row r="251">
      <c r="A251" s="22" t="n">
        <v>250</v>
      </c>
      <c r="B251" s="23" t="inlineStr">
        <is>
          <t>Cameruccio Motos</t>
        </is>
      </c>
      <c r="C251" s="12" t="inlineStr">
        <is>
          <t>Mecanica de motos</t>
        </is>
      </c>
      <c r="D251" s="12" t="inlineStr">
        <is>
          <t>Mecanica de motos</t>
        </is>
      </c>
      <c r="E251" s="22" t="n">
        <v>71</v>
      </c>
      <c r="F251" s="22" t="n">
        <v>8447</v>
      </c>
      <c r="G251" s="24" t="inlineStr">
        <is>
          <t>https://guiarsanrafael.com.ar/empresa/cameruccio-motos/</t>
        </is>
      </c>
    </row>
    <row r="252">
      <c r="A252" s="19" t="n">
        <v>251</v>
      </c>
      <c r="B252" s="20" t="inlineStr">
        <is>
          <t>CAMILA DIAZ Estilista</t>
        </is>
      </c>
      <c r="C252" s="14" t="inlineStr">
        <is>
          <t>Centro de estetica</t>
        </is>
      </c>
      <c r="D252" s="14" t="inlineStr">
        <is>
          <t>Centro de estetica</t>
        </is>
      </c>
      <c r="E252" s="19" t="n">
        <v>13</v>
      </c>
      <c r="F252" s="19" t="n">
        <v>13030</v>
      </c>
      <c r="G252" s="21" t="inlineStr">
        <is>
          <t>https://guiarsanrafael.com.ar/empresa/camila-diaz-estilista/</t>
        </is>
      </c>
    </row>
    <row r="253">
      <c r="A253" s="22" t="n">
        <v>252</v>
      </c>
      <c r="B253" s="23" t="inlineStr">
        <is>
          <t>CAMILA PLA Esp. en Diagnóstico Mamario</t>
        </is>
      </c>
      <c r="C253" s="12" t="inlineStr">
        <is>
          <t>Diagnostico por imagenes ecografia mamografias</t>
        </is>
      </c>
      <c r="D253" s="12" t="inlineStr">
        <is>
          <t>Diagnostico por imagenes</t>
        </is>
      </c>
      <c r="E253" s="22" t="n">
        <v>16</v>
      </c>
      <c r="F253" s="22" t="n">
        <v>12641</v>
      </c>
      <c r="G253" s="24" t="inlineStr">
        <is>
          <t>https://guiarsanrafael.com.ar/empresa/camila-pla/</t>
        </is>
      </c>
    </row>
    <row r="254">
      <c r="A254" s="19" t="n">
        <v>253</v>
      </c>
      <c r="B254" s="20" t="inlineStr">
        <is>
          <t>CAMILA QUINTANO</t>
        </is>
      </c>
      <c r="C254" s="14" t="inlineStr">
        <is>
          <t>Odontologia</t>
        </is>
      </c>
      <c r="D254" s="14" t="inlineStr">
        <is>
          <t>Odontologia</t>
        </is>
      </c>
      <c r="E254" s="19" t="n">
        <v>100</v>
      </c>
      <c r="F254" s="19" t="n">
        <v>7461</v>
      </c>
      <c r="G254" s="21" t="inlineStr">
        <is>
          <t>https://guiarsanrafael.com.ar/empresa/camila-quintano/</t>
        </is>
      </c>
    </row>
    <row r="255">
      <c r="A255" s="22" t="n">
        <v>254</v>
      </c>
      <c r="B255" s="23" t="inlineStr">
        <is>
          <t>Camiletti	Marcos Gabriel</t>
        </is>
      </c>
      <c r="C255" s="12" t="inlineStr">
        <is>
          <t>Abogados abogadas estudios juridicos</t>
        </is>
      </c>
      <c r="D255" s="12" t="inlineStr">
        <is>
          <t>Abogados</t>
        </is>
      </c>
      <c r="E255" s="22" t="n">
        <v>110</v>
      </c>
      <c r="F255" s="22" t="n">
        <v>7221</v>
      </c>
      <c r="G255" s="24" t="inlineStr">
        <is>
          <t>https://guiarsanrafael.com.ar/empresa/camilettimarcos-gabriel/</t>
        </is>
      </c>
    </row>
    <row r="256">
      <c r="A256" s="19" t="n">
        <v>255</v>
      </c>
      <c r="B256" s="20" t="inlineStr">
        <is>
          <t>CAMILETTI S.A. Constructora</t>
        </is>
      </c>
      <c r="C256" s="14" t="inlineStr">
        <is>
          <t>Aridos canteras</t>
        </is>
      </c>
      <c r="D256" s="14" t="inlineStr">
        <is>
          <t>Aridos</t>
        </is>
      </c>
      <c r="E256" s="19" t="n">
        <v>4</v>
      </c>
      <c r="F256" s="19" t="n">
        <v>14655</v>
      </c>
      <c r="G256" s="21" t="inlineStr">
        <is>
          <t>https://guiarsanrafael.com.ar/empresa/camiletti-s-a-constructora/</t>
        </is>
      </c>
    </row>
    <row r="257">
      <c r="A257" s="22" t="n">
        <v>256</v>
      </c>
      <c r="B257" s="23" t="inlineStr">
        <is>
          <t>Camilletti Mariano</t>
        </is>
      </c>
      <c r="C257" s="12" t="inlineStr">
        <is>
          <t>Traumatologia y ortopedia</t>
        </is>
      </c>
      <c r="D257" s="12" t="inlineStr">
        <is>
          <t>Traumatologia</t>
        </is>
      </c>
      <c r="E257" s="22" t="n">
        <v>142</v>
      </c>
      <c r="F257" s="22" t="n">
        <v>5534</v>
      </c>
      <c r="G257" s="24" t="inlineStr">
        <is>
          <t>https://guiarsanrafael.com.ar/empresa/camilletti-mariano/</t>
        </is>
      </c>
    </row>
    <row r="258">
      <c r="A258" s="19" t="n">
        <v>257</v>
      </c>
      <c r="B258" s="20" t="inlineStr">
        <is>
          <t>CANESTRARI María Cristina</t>
        </is>
      </c>
      <c r="C258" s="14" t="inlineStr">
        <is>
          <t>Escribanias escribanos escribanas mandatario mandataria notarios notarias</t>
        </is>
      </c>
      <c r="D258" s="14" t="inlineStr">
        <is>
          <t>Escribanas</t>
        </is>
      </c>
      <c r="E258" s="19" t="n">
        <v>85</v>
      </c>
      <c r="F258" s="19" t="n">
        <v>8164</v>
      </c>
      <c r="G258" s="21" t="inlineStr">
        <is>
          <t>https://guiarsanrafael.com.ar/empresa/canestrari-maria-cristina/</t>
        </is>
      </c>
    </row>
    <row r="259">
      <c r="A259" s="22" t="n">
        <v>258</v>
      </c>
      <c r="B259" s="23" t="inlineStr">
        <is>
          <t>CANTINA A GOGÓ</t>
        </is>
      </c>
      <c r="C259" s="12" t="inlineStr">
        <is>
          <t>Restaurantes parrilas</t>
        </is>
      </c>
      <c r="D259" s="12" t="inlineStr">
        <is>
          <t>Restaurantes</t>
        </is>
      </c>
      <c r="E259" s="22" t="n">
        <v>38</v>
      </c>
      <c r="F259" s="22" t="n">
        <v>10249</v>
      </c>
      <c r="G259" s="24" t="inlineStr">
        <is>
          <t>https://guiarsanrafael.com.ar/empresa/cantina-a-gogo/</t>
        </is>
      </c>
    </row>
    <row r="260">
      <c r="A260" s="19" t="n">
        <v>259</v>
      </c>
      <c r="B260" s="20" t="inlineStr">
        <is>
          <t>Caparros	Juan Mauricio</t>
        </is>
      </c>
      <c r="C260" s="14" t="inlineStr">
        <is>
          <t>Abogados abogadas estudios juridicos</t>
        </is>
      </c>
      <c r="D260" s="14" t="inlineStr">
        <is>
          <t>Abogados</t>
        </is>
      </c>
      <c r="E260" s="19" t="n">
        <v>110</v>
      </c>
      <c r="F260" s="19" t="n">
        <v>7223</v>
      </c>
      <c r="G260" s="21" t="inlineStr">
        <is>
          <t>https://guiarsanrafael.com.ar/empresa/caparrosjuan-mauricio/</t>
        </is>
      </c>
    </row>
    <row r="261">
      <c r="A261" s="22" t="n">
        <v>260</v>
      </c>
      <c r="B261" s="23" t="inlineStr">
        <is>
          <t>Carabajal	Marcos Joel</t>
        </is>
      </c>
      <c r="C261" s="12" t="inlineStr">
        <is>
          <t>Abogados abogadas estudios juridicos</t>
        </is>
      </c>
      <c r="D261" s="12" t="inlineStr">
        <is>
          <t>Abogadas</t>
        </is>
      </c>
      <c r="E261" s="22" t="n">
        <v>108</v>
      </c>
      <c r="F261" s="22" t="n">
        <v>7261</v>
      </c>
      <c r="G261" s="24" t="inlineStr">
        <is>
          <t>https://guiarsanrafael.com.ar/empresa/carabajalmarcos-joel/</t>
        </is>
      </c>
    </row>
    <row r="262">
      <c r="A262" s="19" t="n">
        <v>261</v>
      </c>
      <c r="B262" s="20" t="inlineStr">
        <is>
          <t>Carallol Melisa C.</t>
        </is>
      </c>
      <c r="C262" s="14" t="inlineStr">
        <is>
          <t>Abogados abogadas estudios juridicos</t>
        </is>
      </c>
      <c r="D262" s="14" t="inlineStr">
        <is>
          <t>Abogadas</t>
        </is>
      </c>
      <c r="E262" s="19" t="n">
        <v>118</v>
      </c>
      <c r="F262" s="19" t="n">
        <v>7136</v>
      </c>
      <c r="G262" s="21" t="inlineStr">
        <is>
          <t>https://guiarsanrafael.com.ar/empresa/carallol-melisa-c/</t>
        </is>
      </c>
    </row>
    <row r="263">
      <c r="A263" s="22" t="n">
        <v>262</v>
      </c>
      <c r="B263" s="23" t="inlineStr">
        <is>
          <t>Carallós Valeria</t>
        </is>
      </c>
      <c r="C263" s="12" t="inlineStr">
        <is>
          <t>Abogados abogadas estudios juridicos</t>
        </is>
      </c>
      <c r="D263" s="12" t="inlineStr">
        <is>
          <t>Abogadas</t>
        </is>
      </c>
      <c r="E263" s="22" t="n">
        <v>115</v>
      </c>
      <c r="F263" s="22" t="n">
        <v>7158</v>
      </c>
      <c r="G263" s="24" t="inlineStr">
        <is>
          <t>https://guiarsanrafael.com.ar/empresa/carallos-valeria/</t>
        </is>
      </c>
    </row>
    <row r="264">
      <c r="A264" s="19" t="n">
        <v>263</v>
      </c>
      <c r="B264" s="20" t="inlineStr">
        <is>
          <t>Carbajal Andrés</t>
        </is>
      </c>
      <c r="C264" s="14" t="inlineStr">
        <is>
          <t>Abogados abogadas estudios juridicos</t>
        </is>
      </c>
      <c r="D264" s="14" t="inlineStr">
        <is>
          <t>Abogados</t>
        </is>
      </c>
      <c r="E264" s="19" t="n">
        <v>110</v>
      </c>
      <c r="F264" s="19" t="n">
        <v>7219</v>
      </c>
      <c r="G264" s="21" t="inlineStr">
        <is>
          <t>https://guiarsanrafael.com.ar/empresa/carbajal-andres/</t>
        </is>
      </c>
    </row>
    <row r="265">
      <c r="A265" s="22" t="n">
        <v>264</v>
      </c>
      <c r="B265" s="23" t="inlineStr">
        <is>
          <t>CARDIO NOVA Instituto Cardiológico</t>
        </is>
      </c>
      <c r="C265" s="12" t="inlineStr">
        <is>
          <t>Cardiologia medico cardiologo</t>
        </is>
      </c>
      <c r="D265" s="12" t="inlineStr">
        <is>
          <t>Cardiologia</t>
        </is>
      </c>
      <c r="E265" s="22" t="n">
        <v>9</v>
      </c>
      <c r="F265" s="22" t="n">
        <v>13818</v>
      </c>
      <c r="G265" s="24" t="inlineStr">
        <is>
          <t>https://guiarsanrafael.com.ar/empresa/cardio-nova-instituto-cardiologico/</t>
        </is>
      </c>
    </row>
    <row r="266">
      <c r="A266" s="19" t="n">
        <v>265</v>
      </c>
      <c r="B266" s="20" t="inlineStr">
        <is>
          <t>Carina Farina</t>
        </is>
      </c>
      <c r="C266" s="14" t="inlineStr">
        <is>
          <t>Nutricion nutricionistas</t>
        </is>
      </c>
      <c r="D266" s="14" t="inlineStr">
        <is>
          <t>Nutricionistas</t>
        </is>
      </c>
      <c r="E266" s="19" t="n">
        <v>150</v>
      </c>
      <c r="F266" s="19" t="n">
        <v>5422</v>
      </c>
      <c r="G266" s="21" t="inlineStr">
        <is>
          <t>https://guiarsanrafael.com.ar/empresa/carina-farina/</t>
        </is>
      </c>
    </row>
    <row r="267">
      <c r="A267" s="22" t="n">
        <v>266</v>
      </c>
      <c r="B267" s="23" t="inlineStr">
        <is>
          <t>Carina Fornes</t>
        </is>
      </c>
      <c r="C267" s="12" t="inlineStr">
        <is>
          <t>Odontologia</t>
        </is>
      </c>
      <c r="D267" s="12" t="inlineStr">
        <is>
          <t>Odontologia</t>
        </is>
      </c>
      <c r="E267" s="22" t="n">
        <v>103</v>
      </c>
      <c r="F267" s="22" t="n">
        <v>7382</v>
      </c>
      <c r="G267" s="24" t="inlineStr">
        <is>
          <t>https://guiarsanrafael.com.ar/empresa/carina-fornes/</t>
        </is>
      </c>
    </row>
    <row r="268">
      <c r="A268" s="19" t="n">
        <v>267</v>
      </c>
      <c r="B268" s="20" t="inlineStr">
        <is>
          <t>Carla Romina Lamolla</t>
        </is>
      </c>
      <c r="C268" s="14" t="inlineStr">
        <is>
          <t>Medicina legal</t>
        </is>
      </c>
      <c r="D268" s="14" t="inlineStr">
        <is>
          <t>Medicina general</t>
        </is>
      </c>
      <c r="E268" s="19" t="n">
        <v>150</v>
      </c>
      <c r="F268" s="19" t="n">
        <v>5411</v>
      </c>
      <c r="G268" s="21" t="inlineStr">
        <is>
          <t>https://guiarsanrafael.com.ar/empresa/carla-romina-lamolla/</t>
        </is>
      </c>
    </row>
    <row r="269">
      <c r="A269" s="22" t="n">
        <v>268</v>
      </c>
      <c r="B269" s="23" t="inlineStr">
        <is>
          <t>CARLEVARIS LEANDRO</t>
        </is>
      </c>
      <c r="C269" s="12" t="inlineStr">
        <is>
          <t>Reumatologia</t>
        </is>
      </c>
      <c r="D269" s="12" t="inlineStr">
        <is>
          <t>Reumatologia</t>
        </is>
      </c>
      <c r="E269" s="22" t="n">
        <v>15</v>
      </c>
      <c r="F269" s="22" t="n">
        <v>12808</v>
      </c>
      <c r="G269" s="24" t="inlineStr">
        <is>
          <t>https://guiarsanrafael.com.ar/empresa/carlevaris-leandro/</t>
        </is>
      </c>
    </row>
    <row r="270">
      <c r="A270" s="19" t="n">
        <v>269</v>
      </c>
      <c r="B270" s="20" t="inlineStr">
        <is>
          <t>CARLOS A. MUSSA</t>
        </is>
      </c>
      <c r="C270" s="14" t="inlineStr">
        <is>
          <t>Oftalmologia oftalmologos</t>
        </is>
      </c>
      <c r="D270" s="14" t="inlineStr">
        <is>
          <t>Oftalmologia</t>
        </is>
      </c>
      <c r="E270" s="19" t="n">
        <v>134</v>
      </c>
      <c r="F270" s="19" t="n">
        <v>6043</v>
      </c>
      <c r="G270" s="21" t="inlineStr">
        <is>
          <t>https://guiarsanrafael.com.ar/empresa/carlos-a-mussa/</t>
        </is>
      </c>
    </row>
    <row r="271">
      <c r="A271" s="22" t="n">
        <v>270</v>
      </c>
      <c r="B271" s="23" t="inlineStr">
        <is>
          <t>CARLOS GAÑAN de Pelos</t>
        </is>
      </c>
      <c r="C271" s="12" t="inlineStr">
        <is>
          <t>Barberias peluqueria barberos</t>
        </is>
      </c>
      <c r="D271" s="12" t="inlineStr">
        <is>
          <t>Barberias</t>
        </is>
      </c>
      <c r="E271" s="22" t="n">
        <v>14</v>
      </c>
      <c r="F271" s="22" t="n">
        <v>12835</v>
      </c>
      <c r="G271" s="24" t="inlineStr">
        <is>
          <t>https://guiarsanrafael.com.ar/empresa/carlos-ganan-de-pelo/</t>
        </is>
      </c>
    </row>
    <row r="272">
      <c r="A272" s="19" t="n">
        <v>271</v>
      </c>
      <c r="B272" s="20" t="inlineStr">
        <is>
          <t>CARLOS JAVIER LEITON</t>
        </is>
      </c>
      <c r="C272" s="14" t="inlineStr">
        <is>
          <t>Traumatologia y ortopedia</t>
        </is>
      </c>
      <c r="D272" s="14" t="inlineStr">
        <is>
          <t>Traumatologia</t>
        </is>
      </c>
      <c r="E272" s="19" t="n">
        <v>128</v>
      </c>
      <c r="F272" s="19" t="n">
        <v>6522</v>
      </c>
      <c r="G272" s="21" t="inlineStr">
        <is>
          <t>https://guiarsanrafael.com.ar/empresa/carlos-javier-leiton/</t>
        </is>
      </c>
    </row>
    <row r="273">
      <c r="A273" s="22" t="n">
        <v>272</v>
      </c>
      <c r="B273" s="23" t="inlineStr">
        <is>
          <t>CARLOS MARTINEZ</t>
        </is>
      </c>
      <c r="C273" s="12" t="inlineStr">
        <is>
          <t>Bioquimicos laboratorio</t>
        </is>
      </c>
      <c r="D273" s="12" t="inlineStr">
        <is>
          <t>Bioquimicos</t>
        </is>
      </c>
      <c r="E273" s="22" t="n">
        <v>132</v>
      </c>
      <c r="F273" s="22" t="n">
        <v>6173</v>
      </c>
      <c r="G273" s="24" t="inlineStr">
        <is>
          <t>https://guiarsanrafael.com.ar/empresa/carlos-martinez/</t>
        </is>
      </c>
    </row>
    <row r="274">
      <c r="A274" s="19" t="n">
        <v>273</v>
      </c>
      <c r="B274" s="20" t="inlineStr">
        <is>
          <t>Carlos Parra</t>
        </is>
      </c>
      <c r="C274" s="14" t="inlineStr">
        <is>
          <t>Ginecologia y obsterticia</t>
        </is>
      </c>
      <c r="D274" s="14" t="inlineStr">
        <is>
          <t>Ginecologia y obsterticia</t>
        </is>
      </c>
      <c r="E274" s="19" t="n">
        <v>155</v>
      </c>
      <c r="F274" s="19" t="n">
        <v>5340</v>
      </c>
      <c r="G274" s="21" t="inlineStr">
        <is>
          <t>https://guiarsanrafael.com.ar/empresa/carlos-parra-c-w-lencinas-20-2-piso-2604-632650/</t>
        </is>
      </c>
    </row>
    <row r="275">
      <c r="A275" s="22" t="n">
        <v>274</v>
      </c>
      <c r="B275" s="23" t="inlineStr">
        <is>
          <t>CARLOS SANZ</t>
        </is>
      </c>
      <c r="C275" s="12" t="inlineStr">
        <is>
          <t>Endocrinologia</t>
        </is>
      </c>
      <c r="D275" s="12" t="inlineStr">
        <is>
          <t>Endocrinologia</t>
        </is>
      </c>
      <c r="E275" s="22" t="n">
        <v>158</v>
      </c>
      <c r="F275" s="22" t="n">
        <v>5301</v>
      </c>
      <c r="G275" s="24" t="inlineStr">
        <is>
          <t>https://guiarsanrafael.com.ar/empresa/carlos-sanz/</t>
        </is>
      </c>
    </row>
    <row r="276">
      <c r="A276" s="19" t="n">
        <v>275</v>
      </c>
      <c r="B276" s="20" t="inlineStr">
        <is>
          <t>CARNICERIA EL AVE FENIX</t>
        </is>
      </c>
      <c r="C276" s="14" t="inlineStr">
        <is>
          <t>Carnicerias</t>
        </is>
      </c>
      <c r="D276" s="14" t="inlineStr">
        <is>
          <t>Carniceria</t>
        </is>
      </c>
      <c r="E276" s="19" t="n">
        <v>6</v>
      </c>
      <c r="F276" s="19" t="n">
        <v>14409</v>
      </c>
      <c r="G276" s="21" t="inlineStr">
        <is>
          <t>https://guiarsanrafael.com.ar/empresa/carniceria-el-ave-fenix/</t>
        </is>
      </c>
    </row>
    <row r="277">
      <c r="A277" s="22" t="n">
        <v>276</v>
      </c>
      <c r="B277" s="23" t="inlineStr">
        <is>
          <t>CARNICERIA GUSTAVO</t>
        </is>
      </c>
      <c r="C277" s="12" t="inlineStr">
        <is>
          <t>Carnicerias</t>
        </is>
      </c>
      <c r="D277" s="12" t="inlineStr">
        <is>
          <t>Carniceria</t>
        </is>
      </c>
      <c r="E277" s="22" t="n">
        <v>11</v>
      </c>
      <c r="F277" s="22" t="n">
        <v>13360</v>
      </c>
      <c r="G277" s="24" t="inlineStr">
        <is>
          <t>https://guiarsanrafael.com.ar/empresa/carniceria-gustavo/</t>
        </is>
      </c>
    </row>
    <row r="278">
      <c r="A278" s="19" t="n">
        <v>277</v>
      </c>
      <c r="B278" s="20" t="inlineStr">
        <is>
          <t>CARNICERIA RIVADAVIA</t>
        </is>
      </c>
      <c r="C278" s="14" t="inlineStr">
        <is>
          <t>Carnicerias</t>
        </is>
      </c>
      <c r="D278" s="14" t="inlineStr">
        <is>
          <t>Carniceria</t>
        </is>
      </c>
      <c r="E278" s="19" t="n">
        <v>7</v>
      </c>
      <c r="F278" s="19" t="n">
        <v>14231</v>
      </c>
      <c r="G278" s="21" t="inlineStr">
        <is>
          <t>https://guiarsanrafael.com.ar/empresa/carniceria-rivadavia/</t>
        </is>
      </c>
    </row>
    <row r="279">
      <c r="A279" s="22" t="n">
        <v>278</v>
      </c>
      <c r="B279" s="23" t="inlineStr">
        <is>
          <t>Carola Giglio</t>
        </is>
      </c>
      <c r="C279" s="12" t="inlineStr">
        <is>
          <t>Psicologia</t>
        </is>
      </c>
      <c r="D279" s="12" t="inlineStr">
        <is>
          <t>Psicologia</t>
        </is>
      </c>
      <c r="E279" s="22" t="n">
        <v>145</v>
      </c>
      <c r="F279" s="22" t="n">
        <v>5504</v>
      </c>
      <c r="G279" s="24" t="inlineStr">
        <is>
          <t>https://guiarsanrafael.com.ar/empresa/carola-giglio/</t>
        </is>
      </c>
    </row>
    <row r="280">
      <c r="A280" s="19" t="n">
        <v>279</v>
      </c>
      <c r="B280" s="20" t="inlineStr">
        <is>
          <t>Carola Rocio Lujan</t>
        </is>
      </c>
      <c r="C280" s="14" t="inlineStr">
        <is>
          <t>Clinica del lenguaje</t>
        </is>
      </c>
      <c r="D280" s="14" t="inlineStr">
        <is>
          <t>Clinica del lenguaje</t>
        </is>
      </c>
      <c r="E280" s="19" t="n">
        <v>157</v>
      </c>
      <c r="F280" s="19" t="n">
        <v>5315</v>
      </c>
      <c r="G280" s="21" t="inlineStr">
        <is>
          <t>https://guiarsanrafael.com.ar/empresa/carola-rocio-lujan/</t>
        </is>
      </c>
    </row>
    <row r="281">
      <c r="A281" s="22" t="n">
        <v>280</v>
      </c>
      <c r="B281" s="23" t="inlineStr">
        <is>
          <t>CAROLINA ALDAVE</t>
        </is>
      </c>
      <c r="C281" s="12" t="inlineStr">
        <is>
          <t>Kinesiologia y fisioterapia</t>
        </is>
      </c>
      <c r="D281" s="12" t="inlineStr">
        <is>
          <t>Kinesiologia y fisioterapia</t>
        </is>
      </c>
      <c r="E281" s="22" t="n">
        <v>152</v>
      </c>
      <c r="F281" s="22" t="n">
        <v>5389</v>
      </c>
      <c r="G281" s="24" t="inlineStr">
        <is>
          <t>https://guiarsanrafael.com.ar/empresa/carolina-aldave-2/</t>
        </is>
      </c>
    </row>
    <row r="282">
      <c r="A282" s="19" t="n">
        <v>281</v>
      </c>
      <c r="B282" s="20" t="inlineStr">
        <is>
          <t>Carolina Aldave</t>
        </is>
      </c>
      <c r="C282" s="14" t="inlineStr">
        <is>
          <t>Kinesiologia y fisioterapia</t>
        </is>
      </c>
      <c r="D282" s="14" t="inlineStr">
        <is>
          <t>Kinesiologia y fisioterapia</t>
        </is>
      </c>
      <c r="E282" s="19" t="n">
        <v>154</v>
      </c>
      <c r="F282" s="19" t="n">
        <v>5371</v>
      </c>
      <c r="G282" s="21" t="inlineStr">
        <is>
          <t>https://guiarsanrafael.com.ar/empresa/carolina-aldave/</t>
        </is>
      </c>
    </row>
    <row r="283">
      <c r="A283" s="22" t="n">
        <v>282</v>
      </c>
      <c r="B283" s="23" t="inlineStr">
        <is>
          <t>Carolina Chaín</t>
        </is>
      </c>
      <c r="C283" s="12" t="inlineStr">
        <is>
          <t>Diagnostico por imagenes ecografia mamografias</t>
        </is>
      </c>
      <c r="D283" s="12" t="inlineStr">
        <is>
          <t>Diagnostico por imagenes</t>
        </is>
      </c>
      <c r="E283" s="22" t="n">
        <v>158</v>
      </c>
      <c r="F283" s="22" t="n">
        <v>5294</v>
      </c>
      <c r="G283" s="24" t="inlineStr">
        <is>
          <t>https://guiarsanrafael.com.ar/empresa/carolina-chain/</t>
        </is>
      </c>
    </row>
    <row r="284">
      <c r="A284" s="19" t="n">
        <v>283</v>
      </c>
      <c r="B284" s="20" t="inlineStr">
        <is>
          <t>Carolina Fernández</t>
        </is>
      </c>
      <c r="C284" s="14" t="inlineStr">
        <is>
          <t>Odontologia</t>
        </is>
      </c>
      <c r="D284" s="14" t="inlineStr">
        <is>
          <t>Odontologia</t>
        </is>
      </c>
      <c r="E284" s="19" t="n">
        <v>103</v>
      </c>
      <c r="F284" s="19" t="n">
        <v>7381</v>
      </c>
      <c r="G284" s="21" t="inlineStr">
        <is>
          <t>https://guiarsanrafael.com.ar/empresa/carolina-fernandez/</t>
        </is>
      </c>
    </row>
    <row r="285">
      <c r="A285" s="22" t="n">
        <v>284</v>
      </c>
      <c r="B285" s="23" t="inlineStr">
        <is>
          <t>Carolina Gullotta</t>
        </is>
      </c>
      <c r="C285" s="12" t="inlineStr">
        <is>
          <t>Clinica del lenguaje</t>
        </is>
      </c>
      <c r="D285" s="12" t="inlineStr">
        <is>
          <t>Clinica del lenguaje</t>
        </is>
      </c>
      <c r="E285" s="22" t="n">
        <v>157</v>
      </c>
      <c r="F285" s="22" t="n">
        <v>5313</v>
      </c>
      <c r="G285" s="24" t="inlineStr">
        <is>
          <t>https://guiarsanrafael.com.ar/empresa/carolina-gullotta/</t>
        </is>
      </c>
    </row>
    <row r="286">
      <c r="A286" s="19" t="n">
        <v>285</v>
      </c>
      <c r="B286" s="20" t="inlineStr">
        <is>
          <t>Carolina Martinelli</t>
        </is>
      </c>
      <c r="C286" s="14" t="inlineStr">
        <is>
          <t>Psicologia</t>
        </is>
      </c>
      <c r="D286" s="14" t="inlineStr">
        <is>
          <t>Psicologia</t>
        </is>
      </c>
      <c r="E286" s="19" t="n">
        <v>144</v>
      </c>
      <c r="F286" s="19" t="n">
        <v>5506</v>
      </c>
      <c r="G286" s="21" t="inlineStr">
        <is>
          <t>https://guiarsanrafael.com.ar/empresa/carolina-martinelli/</t>
        </is>
      </c>
    </row>
    <row r="287">
      <c r="A287" s="22" t="n">
        <v>286</v>
      </c>
      <c r="B287" s="23" t="inlineStr">
        <is>
          <t>Carpio Mariana C.</t>
        </is>
      </c>
      <c r="C287" s="12" t="inlineStr">
        <is>
          <t>Abogados abogadas estudios juridicos</t>
        </is>
      </c>
      <c r="D287" s="12" t="inlineStr">
        <is>
          <t>Abogadas</t>
        </is>
      </c>
      <c r="E287" s="22" t="n">
        <v>118</v>
      </c>
      <c r="F287" s="22" t="n">
        <v>7133</v>
      </c>
      <c r="G287" s="24" t="inlineStr">
        <is>
          <t>https://guiarsanrafael.com.ar/empresa/carpio-mariana-c/</t>
        </is>
      </c>
    </row>
    <row r="288">
      <c r="A288" s="19" t="n">
        <v>287</v>
      </c>
      <c r="B288" s="20" t="inlineStr">
        <is>
          <t>CARRETERO María Belén</t>
        </is>
      </c>
      <c r="C288" s="14" t="inlineStr">
        <is>
          <t>Escribanias escribanos escribanas mandatario mandataria notarios notarias</t>
        </is>
      </c>
      <c r="D288" s="14" t="inlineStr">
        <is>
          <t>Escribanas</t>
        </is>
      </c>
      <c r="E288" s="19" t="n">
        <v>85</v>
      </c>
      <c r="F288" s="19" t="n">
        <v>8165</v>
      </c>
      <c r="G288" s="21" t="inlineStr">
        <is>
          <t>https://guiarsanrafael.com.ar/empresa/carretero-maria-belen/</t>
        </is>
      </c>
    </row>
    <row r="289">
      <c r="A289" s="22" t="n">
        <v>288</v>
      </c>
      <c r="B289" s="23" t="inlineStr">
        <is>
          <t>CASA ALLEGRA Cotillón</t>
        </is>
      </c>
      <c r="C289" s="12" t="inlineStr">
        <is>
          <t>Cotillon</t>
        </is>
      </c>
      <c r="D289" s="12" t="inlineStr">
        <is>
          <t>Cotillon</t>
        </is>
      </c>
      <c r="E289" s="22" t="n">
        <v>3</v>
      </c>
      <c r="F289" s="22" t="n">
        <v>14891</v>
      </c>
      <c r="G289" s="24" t="inlineStr">
        <is>
          <t>https://guiarsanrafael.com.ar/empresa/casa-allegra-cotillon/</t>
        </is>
      </c>
    </row>
    <row r="290">
      <c r="A290" s="19" t="n">
        <v>289</v>
      </c>
      <c r="B290" s="20" t="inlineStr">
        <is>
          <t>Casa de la Limpieza</t>
        </is>
      </c>
      <c r="C290" s="14" t="inlineStr">
        <is>
          <t>Articulos de limpieza todo suelto</t>
        </is>
      </c>
      <c r="D290" s="14" t="inlineStr">
        <is>
          <t>Articulos de limpieza</t>
        </is>
      </c>
      <c r="E290" s="19" t="n">
        <v>68</v>
      </c>
      <c r="F290" s="19" t="n">
        <v>8523</v>
      </c>
      <c r="G290" s="21" t="inlineStr">
        <is>
          <t>https://guiarsanrafael.com.ar/empresa/casa-de-la-limpieza/</t>
        </is>
      </c>
    </row>
    <row r="291">
      <c r="A291" s="22" t="n">
        <v>290</v>
      </c>
      <c r="B291" s="23" t="inlineStr">
        <is>
          <t>Casa José Chiabrando</t>
        </is>
      </c>
      <c r="C291" s="12" t="inlineStr">
        <is>
          <t>Repuestos del automotor autopartes</t>
        </is>
      </c>
      <c r="D291" s="12" t="inlineStr">
        <is>
          <t>Autopartes</t>
        </is>
      </c>
      <c r="E291" s="22" t="n">
        <v>74</v>
      </c>
      <c r="F291" s="22" t="n">
        <v>8418</v>
      </c>
      <c r="G291" s="24" t="inlineStr">
        <is>
          <t>https://guiarsanrafael.com.ar/empresa/casa-jose-chiabrando/</t>
        </is>
      </c>
    </row>
    <row r="292">
      <c r="A292" s="19" t="n">
        <v>291</v>
      </c>
      <c r="B292" s="20" t="inlineStr">
        <is>
          <t>Casa Natural</t>
        </is>
      </c>
      <c r="C292" s="14" t="inlineStr">
        <is>
          <t>Dieteticas productos naturales</t>
        </is>
      </c>
      <c r="D292" s="14" t="inlineStr">
        <is>
          <t>Dieteticas</t>
        </is>
      </c>
      <c r="E292" s="19" t="n">
        <v>54</v>
      </c>
      <c r="F292" s="19" t="n">
        <v>9231</v>
      </c>
      <c r="G292" s="21" t="inlineStr">
        <is>
          <t>https://guiarsanrafael.com.ar/empresa/casa-natural/</t>
        </is>
      </c>
    </row>
    <row r="293">
      <c r="A293" s="22" t="n">
        <v>292</v>
      </c>
      <c r="B293" s="23" t="inlineStr">
        <is>
          <t>CASA ORTIZ Descartables</t>
        </is>
      </c>
      <c r="C293" s="12" t="inlineStr">
        <is>
          <t>Articulos para calzado</t>
        </is>
      </c>
      <c r="D293" s="12" t="inlineStr">
        <is>
          <t>Articulos para calzado</t>
        </is>
      </c>
      <c r="E293" s="22" t="n">
        <v>32</v>
      </c>
      <c r="F293" s="22" t="n">
        <v>10840</v>
      </c>
      <c r="G293" s="24" t="inlineStr">
        <is>
          <t>https://guiarsanrafael.com.ar/empresa/casa-ortiz-descartables/</t>
        </is>
      </c>
    </row>
    <row r="294">
      <c r="A294" s="19" t="n">
        <v>293</v>
      </c>
      <c r="B294" s="20" t="inlineStr">
        <is>
          <t>CASA RUIMOL Repuestos y Accesorios</t>
        </is>
      </c>
      <c r="C294" s="14" t="inlineStr">
        <is>
          <t>Accesorios para el aumomotor</t>
        </is>
      </c>
      <c r="D294" s="14" t="inlineStr">
        <is>
          <t>Cerrajerias</t>
        </is>
      </c>
      <c r="E294" s="19" t="n">
        <v>76</v>
      </c>
      <c r="F294" s="19" t="n">
        <v>8396</v>
      </c>
      <c r="G294" s="21" t="inlineStr">
        <is>
          <t>https://guiarsanrafael.com.ar/empresa/casa-ruimol/</t>
        </is>
      </c>
    </row>
    <row r="295">
      <c r="A295" s="22" t="n">
        <v>294</v>
      </c>
      <c r="B295" s="23" t="inlineStr">
        <is>
          <t>CASA TRES Cortinas y Toldos</t>
        </is>
      </c>
      <c r="C295" s="12" t="inlineStr">
        <is>
          <t>Cortinados</t>
        </is>
      </c>
      <c r="D295" s="12" t="inlineStr">
        <is>
          <t>Cortinados</t>
        </is>
      </c>
      <c r="E295" s="22" t="n">
        <v>68</v>
      </c>
      <c r="F295" s="22" t="n">
        <v>8507</v>
      </c>
      <c r="G295" s="24" t="inlineStr">
        <is>
          <t>https://guiarsanrafael.com.ar/empresa/casa-tres-cortinas-y-toldos/</t>
        </is>
      </c>
    </row>
    <row r="296">
      <c r="A296" s="19" t="n">
        <v>295</v>
      </c>
      <c r="B296" s="20" t="inlineStr">
        <is>
          <t>Casado María Belén</t>
        </is>
      </c>
      <c r="C296" s="14" t="inlineStr">
        <is>
          <t>Abogados abogadas estudios juridicos</t>
        </is>
      </c>
      <c r="D296" s="14" t="inlineStr">
        <is>
          <t>Abogadas</t>
        </is>
      </c>
      <c r="E296" s="19" t="n">
        <v>114</v>
      </c>
      <c r="F296" s="19" t="n">
        <v>7175</v>
      </c>
      <c r="G296" s="21" t="inlineStr">
        <is>
          <t>https://guiarsanrafael.com.ar/empresa/casado-maria-belen/</t>
        </is>
      </c>
    </row>
    <row r="297">
      <c r="A297" s="22" t="n">
        <v>296</v>
      </c>
      <c r="B297" s="23" t="inlineStr">
        <is>
          <t>Casas Navarro	Luciana Selene</t>
        </is>
      </c>
      <c r="C297" s="12" t="inlineStr">
        <is>
          <t>Abogados abogadas estudios juridicos</t>
        </is>
      </c>
      <c r="D297" s="12" t="inlineStr">
        <is>
          <t>Abogadas</t>
        </is>
      </c>
      <c r="E297" s="22" t="n">
        <v>113</v>
      </c>
      <c r="F297" s="22" t="n">
        <v>7186</v>
      </c>
      <c r="G297" s="24" t="inlineStr">
        <is>
          <t>https://guiarsanrafael.com.ar/empresa/casas-navarroluciana-selene/</t>
        </is>
      </c>
    </row>
    <row r="298">
      <c r="A298" s="19" t="n">
        <v>297</v>
      </c>
      <c r="B298" s="20" t="inlineStr">
        <is>
          <t>CASASUR</t>
        </is>
      </c>
      <c r="C298" s="14" t="inlineStr">
        <is>
          <t>Tinenda de bebidas vinotecas licores</t>
        </is>
      </c>
      <c r="D298" s="14" t="inlineStr">
        <is>
          <t>Tienda de bebidas</t>
        </is>
      </c>
      <c r="E298" s="19" t="n">
        <v>181</v>
      </c>
      <c r="F298" s="19" t="n">
        <v>9310</v>
      </c>
      <c r="G298" s="21" t="inlineStr">
        <is>
          <t>https://guiarsanrafael.com.ar/empresa/casasur/</t>
        </is>
      </c>
    </row>
    <row r="299">
      <c r="A299" s="22" t="n">
        <v>298</v>
      </c>
      <c r="B299" s="23" t="inlineStr">
        <is>
          <t>CASTAÑO Ana Carolina Del Carmen</t>
        </is>
      </c>
      <c r="C299" s="12" t="inlineStr">
        <is>
          <t>Escribanias escribanos escribanas mandatario mandataria notarios notarias</t>
        </is>
      </c>
      <c r="D299" s="12" t="inlineStr">
        <is>
          <t>Escribanas</t>
        </is>
      </c>
      <c r="E299" s="22" t="n">
        <v>85</v>
      </c>
      <c r="F299" s="22" t="n">
        <v>8166</v>
      </c>
      <c r="G299" s="24" t="inlineStr">
        <is>
          <t>https://guiarsanrafael.com.ar/empresa/castano-ana-carolina-del-carmen/</t>
        </is>
      </c>
    </row>
    <row r="300">
      <c r="A300" s="19" t="n">
        <v>299</v>
      </c>
      <c r="B300" s="20" t="inlineStr">
        <is>
          <t>Castaño Pablo Marcelo</t>
        </is>
      </c>
      <c r="C300" s="14" t="inlineStr">
        <is>
          <t>Abogados abogadas estudios juridicos</t>
        </is>
      </c>
      <c r="D300" s="14" t="inlineStr">
        <is>
          <t>Abogados</t>
        </is>
      </c>
      <c r="E300" s="19" t="n">
        <v>111</v>
      </c>
      <c r="F300" s="19" t="n">
        <v>7207</v>
      </c>
      <c r="G300" s="21" t="inlineStr">
        <is>
          <t>https://guiarsanrafael.com.ar/empresa/castano-pablo-marcelo/</t>
        </is>
      </c>
    </row>
    <row r="301">
      <c r="A301" s="22" t="n">
        <v>300</v>
      </c>
      <c r="B301" s="23" t="inlineStr">
        <is>
          <t>Castilla Luis Francisco</t>
        </is>
      </c>
      <c r="C301" s="12" t="inlineStr">
        <is>
          <t>Abogados abogadas estudios juridicos</t>
        </is>
      </c>
      <c r="D301" s="12" t="inlineStr">
        <is>
          <t>(sin ubicación)</t>
        </is>
      </c>
      <c r="E301" s="22" t="n">
        <v>109</v>
      </c>
      <c r="F301" s="22" t="n">
        <v>7246</v>
      </c>
      <c r="G301" s="24" t="inlineStr">
        <is>
          <t>https://guiarsanrafael.com.ar/empresa/castilla-luis-francisco/</t>
        </is>
      </c>
    </row>
    <row r="302">
      <c r="A302" s="19" t="n">
        <v>301</v>
      </c>
      <c r="B302" s="20" t="inlineStr">
        <is>
          <t>CAÑA COLIHUE Muebles</t>
        </is>
      </c>
      <c r="C302" s="14" t="inlineStr">
        <is>
          <t>Amoblamientos</t>
        </is>
      </c>
      <c r="D302" s="14" t="inlineStr">
        <is>
          <t>Amoblamientos</t>
        </is>
      </c>
      <c r="E302" s="19" t="n">
        <v>19</v>
      </c>
      <c r="F302" s="19" t="n">
        <v>12370</v>
      </c>
      <c r="G302" s="21" t="inlineStr">
        <is>
          <t>https://guiarsanrafael.com.ar/empresa/cana-colihue-muebles/</t>
        </is>
      </c>
    </row>
    <row r="303">
      <c r="A303" s="22" t="n">
        <v>302</v>
      </c>
      <c r="B303" s="23" t="inlineStr">
        <is>
          <t>CECILIA ARREDONDO</t>
        </is>
      </c>
      <c r="C303" s="12" t="inlineStr">
        <is>
          <t>Centro de estetica</t>
        </is>
      </c>
      <c r="D303" s="12" t="inlineStr">
        <is>
          <t>Centro de estetica</t>
        </is>
      </c>
      <c r="E303" s="22" t="n">
        <v>135</v>
      </c>
      <c r="F303" s="22" t="n">
        <v>6029</v>
      </c>
      <c r="G303" s="24" t="inlineStr">
        <is>
          <t>https://guiarsanrafael.com.ar/empresa/cecilia-arredondo/</t>
        </is>
      </c>
    </row>
    <row r="304">
      <c r="A304" s="19" t="n">
        <v>303</v>
      </c>
      <c r="B304" s="20" t="inlineStr">
        <is>
          <t>CECILIA GARCIA</t>
        </is>
      </c>
      <c r="C304" s="14" t="inlineStr">
        <is>
          <t>Veterinarios</t>
        </is>
      </c>
      <c r="D304" s="14" t="inlineStr">
        <is>
          <t>Veterinarios</t>
        </is>
      </c>
      <c r="E304" s="19" t="n">
        <v>135</v>
      </c>
      <c r="F304" s="19" t="n">
        <v>6024</v>
      </c>
      <c r="G304" s="21" t="inlineStr">
        <is>
          <t>https://guiarsanrafael.com.ar/empresa/cecilia-garcia/</t>
        </is>
      </c>
    </row>
    <row r="305">
      <c r="A305" s="22" t="n">
        <v>304</v>
      </c>
      <c r="B305" s="23" t="inlineStr">
        <is>
          <t>Cecilia Martin</t>
        </is>
      </c>
      <c r="C305" s="12" t="inlineStr">
        <is>
          <t>Odontologia</t>
        </is>
      </c>
      <c r="D305" s="12" t="inlineStr">
        <is>
          <t>Odontologia</t>
        </is>
      </c>
      <c r="E305" s="22" t="n">
        <v>102</v>
      </c>
      <c r="F305" s="22" t="n">
        <v>7392</v>
      </c>
      <c r="G305" s="24" t="inlineStr">
        <is>
          <t>https://guiarsanrafael.com.ar/empresa/cecilia-martin/</t>
        </is>
      </c>
    </row>
    <row r="306">
      <c r="A306" s="19" t="n">
        <v>305</v>
      </c>
      <c r="B306" s="20" t="inlineStr">
        <is>
          <t>CECILIA MAYA</t>
        </is>
      </c>
      <c r="C306" s="14" t="inlineStr">
        <is>
          <t>Productor de seguros</t>
        </is>
      </c>
      <c r="D306" s="14" t="inlineStr">
        <is>
          <t>Productor de seguros</t>
        </is>
      </c>
      <c r="E306" s="19" t="n">
        <v>172</v>
      </c>
      <c r="F306" s="19" t="n">
        <v>4306</v>
      </c>
      <c r="G306" s="21" t="inlineStr">
        <is>
          <t>https://guiarsanrafael.com.ar/empresa/cecilia-maya/</t>
        </is>
      </c>
    </row>
    <row r="307">
      <c r="A307" s="22" t="n">
        <v>306</v>
      </c>
      <c r="B307" s="23" t="inlineStr">
        <is>
          <t>CECILIA MAYA</t>
        </is>
      </c>
      <c r="C307" s="12" t="inlineStr">
        <is>
          <t>Gestoria gestor gestora</t>
        </is>
      </c>
      <c r="D307" s="12" t="inlineStr">
        <is>
          <t>Gestoria del automotor</t>
        </is>
      </c>
      <c r="E307" s="22" t="n">
        <v>172</v>
      </c>
      <c r="F307" s="22" t="n">
        <v>4315</v>
      </c>
      <c r="G307" s="24" t="inlineStr">
        <is>
          <t>https://guiarsanrafael.com.ar/empresa/cecilia-maya-2/</t>
        </is>
      </c>
    </row>
    <row r="308">
      <c r="A308" s="19" t="n">
        <v>307</v>
      </c>
      <c r="B308" s="20" t="inlineStr">
        <is>
          <t>CEL FII Tecnología</t>
        </is>
      </c>
      <c r="C308" s="14" t="inlineStr">
        <is>
          <t>Accesorios de telefonia celular</t>
        </is>
      </c>
      <c r="D308" s="14" t="inlineStr">
        <is>
          <t>Accesorios de telefonia</t>
        </is>
      </c>
      <c r="E308" s="19" t="n">
        <v>94</v>
      </c>
      <c r="F308" s="19" t="n">
        <v>7788</v>
      </c>
      <c r="G308" s="21" t="inlineStr">
        <is>
          <t>https://guiarsanrafael.com.ar/empresa/cel-fii-tecnologia/</t>
        </is>
      </c>
    </row>
    <row r="309">
      <c r="A309" s="22" t="n">
        <v>308</v>
      </c>
      <c r="B309" s="23" t="inlineStr">
        <is>
          <t>Celeste Parra</t>
        </is>
      </c>
      <c r="C309" s="12" t="inlineStr">
        <is>
          <t>Psicologia</t>
        </is>
      </c>
      <c r="D309" s="12" t="inlineStr">
        <is>
          <t>Psicologia</t>
        </is>
      </c>
      <c r="E309" s="22" t="n">
        <v>144</v>
      </c>
      <c r="F309" s="22" t="n">
        <v>5511</v>
      </c>
      <c r="G309" s="24" t="inlineStr">
        <is>
          <t>https://guiarsanrafael.com.ar/empresa/celeste-parra/</t>
        </is>
      </c>
    </row>
    <row r="310">
      <c r="A310" s="19" t="n">
        <v>309</v>
      </c>
      <c r="B310" s="20" t="inlineStr">
        <is>
          <t>CELFER Celulares Y Tablets</t>
        </is>
      </c>
      <c r="C310" s="14" t="inlineStr">
        <is>
          <t>Accesorios de telefonia celular</t>
        </is>
      </c>
      <c r="D310" s="14" t="inlineStr">
        <is>
          <t>Servicio tecnico</t>
        </is>
      </c>
      <c r="E310" s="19" t="n">
        <v>166</v>
      </c>
      <c r="F310" s="19" t="n">
        <v>4904</v>
      </c>
      <c r="G310" s="21" t="inlineStr">
        <is>
          <t>https://guiarsanrafael.com.ar/empresa/celfer-celulares-y-tablets/</t>
        </is>
      </c>
    </row>
    <row r="311">
      <c r="A311" s="22" t="n">
        <v>310</v>
      </c>
      <c r="B311" s="23" t="inlineStr">
        <is>
          <t>CELILIO HERMOSA</t>
        </is>
      </c>
      <c r="C311" s="12" t="inlineStr">
        <is>
          <t>Traumatologia y ortopedia</t>
        </is>
      </c>
      <c r="D311" s="12" t="inlineStr">
        <is>
          <t>Traumatologia</t>
        </is>
      </c>
      <c r="E311" s="22" t="n">
        <v>142</v>
      </c>
      <c r="F311" s="22" t="n">
        <v>5539</v>
      </c>
      <c r="G311" s="24" t="inlineStr">
        <is>
          <t>https://guiarsanrafael.com.ar/empresa/hermosa-cecilio/</t>
        </is>
      </c>
    </row>
    <row r="312">
      <c r="A312" s="19" t="n">
        <v>311</v>
      </c>
      <c r="B312" s="20" t="inlineStr">
        <is>
          <t>CELULARES NICO</t>
        </is>
      </c>
      <c r="C312" s="14" t="inlineStr">
        <is>
          <t>Accesorios de telefonia celular</t>
        </is>
      </c>
      <c r="D312" s="14" t="inlineStr">
        <is>
          <t>Accesorios de telefonia</t>
        </is>
      </c>
      <c r="E312" s="19" t="n">
        <v>16</v>
      </c>
      <c r="F312" s="19" t="n">
        <v>12676</v>
      </c>
      <c r="G312" s="21" t="inlineStr">
        <is>
          <t>https://guiarsanrafael.com.ar/empresa/celulares-nico/</t>
        </is>
      </c>
    </row>
    <row r="313">
      <c r="A313" s="22" t="n">
        <v>312</v>
      </c>
      <c r="B313" s="23" t="inlineStr">
        <is>
          <t>CELULARES San Rafael</t>
        </is>
      </c>
      <c r="C313" s="12" t="inlineStr">
        <is>
          <t>Accesorios de telefonia celular</t>
        </is>
      </c>
      <c r="D313" s="12" t="inlineStr">
        <is>
          <t>Accesorios de telefonia</t>
        </is>
      </c>
      <c r="E313" s="22" t="n">
        <v>97</v>
      </c>
      <c r="F313" s="22" t="n">
        <v>7545</v>
      </c>
      <c r="G313" s="24" t="inlineStr">
        <is>
          <t>https://guiarsanrafael.com.ar/empresa/celulares-san-rafael-2/</t>
        </is>
      </c>
    </row>
    <row r="314">
      <c r="A314" s="19" t="n">
        <v>313</v>
      </c>
      <c r="B314" s="20" t="inlineStr">
        <is>
          <t>CELULARES San Rafael</t>
        </is>
      </c>
      <c r="C314" s="14" t="inlineStr">
        <is>
          <t>Accesorios de telefonia celular</t>
        </is>
      </c>
      <c r="D314" s="14" t="inlineStr">
        <is>
          <t>Accesorios de telefonia</t>
        </is>
      </c>
      <c r="E314" s="19" t="n">
        <v>97</v>
      </c>
      <c r="F314" s="19" t="n">
        <v>7547</v>
      </c>
      <c r="G314" s="21" t="inlineStr">
        <is>
          <t>https://guiarsanrafael.com.ar/empresa/celulares-san-rafael/</t>
        </is>
      </c>
    </row>
    <row r="315">
      <c r="A315" s="22" t="n">
        <v>314</v>
      </c>
      <c r="B315" s="23" t="inlineStr">
        <is>
          <t>CELULARES San Rafael</t>
        </is>
      </c>
      <c r="C315" s="12" t="inlineStr">
        <is>
          <t>Accesorios de telefonia celular</t>
        </is>
      </c>
      <c r="D315" s="12" t="inlineStr">
        <is>
          <t>Accesorios de telefonia</t>
        </is>
      </c>
      <c r="E315" s="22" t="n">
        <v>97</v>
      </c>
      <c r="F315" s="22" t="n">
        <v>7548</v>
      </c>
      <c r="G315" s="24" t="inlineStr">
        <is>
          <t>https://guiarsanrafael.com.ar/empresa/celulares-san-rafael-3/</t>
        </is>
      </c>
    </row>
    <row r="316">
      <c r="A316" s="19" t="n">
        <v>315</v>
      </c>
      <c r="B316" s="20" t="inlineStr">
        <is>
          <t>CEMEL Centro Médico Laboral</t>
        </is>
      </c>
      <c r="C316" s="14" t="inlineStr">
        <is>
          <t>Clinica medica</t>
        </is>
      </c>
      <c r="D316" s="14" t="inlineStr">
        <is>
          <t>Clinica medica</t>
        </is>
      </c>
      <c r="E316" s="19" t="n">
        <v>173</v>
      </c>
      <c r="F316" s="19" t="n">
        <v>4136</v>
      </c>
      <c r="G316" s="21" t="inlineStr">
        <is>
          <t>https://guiarsanrafael.com.ar/empresa/cemel-centro-medico-laboral/</t>
        </is>
      </c>
    </row>
    <row r="317">
      <c r="A317" s="22" t="n">
        <v>316</v>
      </c>
      <c r="B317" s="23" t="inlineStr">
        <is>
          <t>CENECA Centro Terapéutico</t>
        </is>
      </c>
      <c r="C317" s="12" t="inlineStr">
        <is>
          <t>Centro de rehabilitacion</t>
        </is>
      </c>
      <c r="D317" s="12" t="inlineStr">
        <is>
          <t>Institutos terapeuticos institutos de rehabilitacion</t>
        </is>
      </c>
      <c r="E317" s="22" t="n">
        <v>34</v>
      </c>
      <c r="F317" s="22" t="n">
        <v>10517</v>
      </c>
      <c r="G317" s="24" t="inlineStr">
        <is>
          <t>https://guiarsanrafael.com.ar/empresa/ceneca-centro-terapeutico/</t>
        </is>
      </c>
    </row>
    <row r="318">
      <c r="A318" s="19" t="n">
        <v>317</v>
      </c>
      <c r="B318" s="20" t="inlineStr">
        <is>
          <t>Centro de la Limpieza</t>
        </is>
      </c>
      <c r="C318" s="14" t="inlineStr">
        <is>
          <t>Articulos de limpieza todo suelto</t>
        </is>
      </c>
      <c r="D318" s="14" t="inlineStr">
        <is>
          <t>Articulos de limpieza</t>
        </is>
      </c>
      <c r="E318" s="19" t="n">
        <v>67</v>
      </c>
      <c r="F318" s="19" t="n">
        <v>8533</v>
      </c>
      <c r="G318" s="21" t="inlineStr">
        <is>
          <t>https://guiarsanrafael.com.ar/empresa/centro-de-la-limpieza/</t>
        </is>
      </c>
    </row>
    <row r="319">
      <c r="A319" s="22" t="n">
        <v>318</v>
      </c>
      <c r="B319" s="23" t="inlineStr">
        <is>
          <t>Centro de la Limpieza Alberdi</t>
        </is>
      </c>
      <c r="C319" s="12" t="inlineStr">
        <is>
          <t>Articulos de limpieza todo suelto</t>
        </is>
      </c>
      <c r="D319" s="12" t="inlineStr">
        <is>
          <t>Articulos de limpieza</t>
        </is>
      </c>
      <c r="E319" s="22" t="n">
        <v>67</v>
      </c>
      <c r="F319" s="22" t="n">
        <v>8528</v>
      </c>
      <c r="G319" s="24" t="inlineStr">
        <is>
          <t>https://guiarsanrafael.com.ar/empresa/centro-de-la-limpieza-alberdi-pichincha-885/</t>
        </is>
      </c>
    </row>
    <row r="320">
      <c r="A320" s="19" t="n">
        <v>319</v>
      </c>
      <c r="B320" s="20" t="inlineStr">
        <is>
          <t>CENTRO DEL DIAGNÓSTICO</t>
        </is>
      </c>
      <c r="C320" s="14" t="inlineStr">
        <is>
          <t>Consultorios medicos</t>
        </is>
      </c>
      <c r="D320" s="14" t="inlineStr">
        <is>
          <t>Consultorios medicos</t>
        </is>
      </c>
      <c r="E320" s="19" t="n">
        <v>133</v>
      </c>
      <c r="F320" s="19" t="n">
        <v>6101</v>
      </c>
      <c r="G320" s="21" t="inlineStr">
        <is>
          <t>https://guiarsanrafael.com.ar/empresa/centro-del-diagnostico/</t>
        </is>
      </c>
    </row>
    <row r="321">
      <c r="A321" s="22" t="n">
        <v>320</v>
      </c>
      <c r="B321" s="23" t="inlineStr">
        <is>
          <t>CEPA Centro Patológico</t>
        </is>
      </c>
      <c r="C321" s="12" t="inlineStr">
        <is>
          <t>Anatomia patologica</t>
        </is>
      </c>
      <c r="D321" s="12" t="inlineStr">
        <is>
          <t>Anatomia patologica</t>
        </is>
      </c>
      <c r="E321" s="22" t="n">
        <v>169</v>
      </c>
      <c r="F321" s="22" t="n">
        <v>4590</v>
      </c>
      <c r="G321" s="24" t="inlineStr">
        <is>
          <t>https://guiarsanrafael.com.ar/empresa/cepa-centro-patologico/</t>
        </is>
      </c>
    </row>
    <row r="322">
      <c r="A322" s="19" t="n">
        <v>321</v>
      </c>
      <c r="B322" s="20" t="inlineStr">
        <is>
          <t>CERAMICAS SAN RAFAEL</t>
        </is>
      </c>
      <c r="C322" s="14" t="inlineStr">
        <is>
          <t>Ceramicas</t>
        </is>
      </c>
      <c r="D322" s="14" t="inlineStr">
        <is>
          <t>Ceramicas</t>
        </is>
      </c>
      <c r="E322" s="19" t="n">
        <v>42</v>
      </c>
      <c r="F322" s="19" t="n">
        <v>9879</v>
      </c>
      <c r="G322" s="21" t="inlineStr">
        <is>
          <t>https://guiarsanrafael.com.ar/empresa/ceramicas-san-rafael/</t>
        </is>
      </c>
    </row>
    <row r="323">
      <c r="A323" s="22" t="n">
        <v>322</v>
      </c>
      <c r="B323" s="23" t="inlineStr">
        <is>
          <t>CERAMICASA San Rafael</t>
        </is>
      </c>
      <c r="C323" s="12" t="inlineStr">
        <is>
          <t>Ceramicas</t>
        </is>
      </c>
      <c r="D323" s="12" t="inlineStr">
        <is>
          <t>Ceramicas</t>
        </is>
      </c>
      <c r="E323" s="22" t="n">
        <v>13</v>
      </c>
      <c r="F323" s="22" t="n">
        <v>13010</v>
      </c>
      <c r="G323" s="24" t="inlineStr">
        <is>
          <t>https://guiarsanrafael.com.ar/empresa/ceramicasa-san-rafael/</t>
        </is>
      </c>
    </row>
    <row r="324">
      <c r="A324" s="19" t="n">
        <v>323</v>
      </c>
      <c r="B324" s="20" t="inlineStr">
        <is>
          <t>CERENART Centro de Rehabilitación</t>
        </is>
      </c>
      <c r="C324" s="14" t="inlineStr">
        <is>
          <t>Centro de rehabilitacion</t>
        </is>
      </c>
      <c r="D324" s="14" t="inlineStr">
        <is>
          <t>Centro de rehabilitacion</t>
        </is>
      </c>
      <c r="E324" s="19" t="n">
        <v>135</v>
      </c>
      <c r="F324" s="19" t="n">
        <v>5989</v>
      </c>
      <c r="G324" s="21" t="inlineStr">
        <is>
          <t>https://guiarsanrafael.com.ar/empresa/cerenart-centro-de-rehabilitacion/</t>
        </is>
      </c>
    </row>
    <row r="325">
      <c r="A325" s="22" t="n">
        <v>324</v>
      </c>
      <c r="B325" s="23" t="inlineStr">
        <is>
          <t>CERRAJERIA LA LLAVE</t>
        </is>
      </c>
      <c r="C325" s="12" t="inlineStr">
        <is>
          <t>Cerrajerias</t>
        </is>
      </c>
      <c r="D325" s="12" t="inlineStr">
        <is>
          <t>Cerrajerias</t>
        </is>
      </c>
      <c r="E325" s="22" t="n">
        <v>167</v>
      </c>
      <c r="F325" s="22" t="n">
        <v>4852</v>
      </c>
      <c r="G325" s="24" t="inlineStr">
        <is>
          <t>https://guiarsanrafael.com.ar/empresa/cerrajeria-la-llave/</t>
        </is>
      </c>
    </row>
    <row r="326">
      <c r="A326" s="19" t="n">
        <v>325</v>
      </c>
      <c r="B326" s="20" t="inlineStr">
        <is>
          <t>CERRAJERIA MITRE</t>
        </is>
      </c>
      <c r="C326" s="14" t="inlineStr">
        <is>
          <t>Cerrajerias</t>
        </is>
      </c>
      <c r="D326" s="14" t="inlineStr">
        <is>
          <t>Cerrajerias</t>
        </is>
      </c>
      <c r="E326" s="19" t="n">
        <v>60</v>
      </c>
      <c r="F326" s="19" t="n">
        <v>8820</v>
      </c>
      <c r="G326" s="21" t="inlineStr">
        <is>
          <t>https://guiarsanrafael.com.ar/empresa/cerrajeria-mitre/</t>
        </is>
      </c>
    </row>
    <row r="327">
      <c r="A327" s="22" t="n">
        <v>326</v>
      </c>
      <c r="B327" s="23" t="inlineStr">
        <is>
          <t>CERRAJERÍA AGUSTÍN</t>
        </is>
      </c>
      <c r="C327" s="12" t="inlineStr">
        <is>
          <t>Cerrajerias</t>
        </is>
      </c>
      <c r="D327" s="12" t="inlineStr">
        <is>
          <t>Cerrajerias</t>
        </is>
      </c>
      <c r="E327" s="22" t="n">
        <v>24</v>
      </c>
      <c r="F327" s="22" t="n">
        <v>11839</v>
      </c>
      <c r="G327" s="24" t="inlineStr">
        <is>
          <t>https://guiarsanrafael.com.ar/empresa/cerrajeria-agustin/</t>
        </is>
      </c>
    </row>
    <row r="328">
      <c r="A328" s="19" t="n">
        <v>327</v>
      </c>
      <c r="B328" s="20" t="inlineStr">
        <is>
          <t>CERRAJERÍA GUAJARDO</t>
        </is>
      </c>
      <c r="C328" s="14" t="inlineStr">
        <is>
          <t>Cerrajerias</t>
        </is>
      </c>
      <c r="D328" s="14" t="inlineStr">
        <is>
          <t>Cerrajerias</t>
        </is>
      </c>
      <c r="E328" s="19" t="n">
        <v>124</v>
      </c>
      <c r="F328" s="19" t="n">
        <v>6786</v>
      </c>
      <c r="G328" s="21" t="inlineStr">
        <is>
          <t>https://guiarsanrafael.com.ar/empresa/cerrajeria-guajardo/</t>
        </is>
      </c>
    </row>
    <row r="329">
      <c r="A329" s="22" t="n">
        <v>328</v>
      </c>
      <c r="B329" s="23" t="inlineStr">
        <is>
          <t>CERRO NEVADO Automotores</t>
        </is>
      </c>
      <c r="C329" s="12" t="inlineStr">
        <is>
          <t>Agencia de autos automotores</t>
        </is>
      </c>
      <c r="D329" s="12" t="inlineStr">
        <is>
          <t>Agencia de autos</t>
        </is>
      </c>
      <c r="E329" s="22" t="n">
        <v>168</v>
      </c>
      <c r="F329" s="22" t="n">
        <v>4702</v>
      </c>
      <c r="G329" s="24" t="inlineStr">
        <is>
          <t>https://guiarsanrafael.com.ar/empresa/cerro-nevado-automotores/</t>
        </is>
      </c>
    </row>
    <row r="330">
      <c r="A330" s="19" t="n">
        <v>329</v>
      </c>
      <c r="B330" s="20" t="inlineStr">
        <is>
          <t>CERUTTI Norma Beatriz</t>
        </is>
      </c>
      <c r="C330" s="14" t="inlineStr">
        <is>
          <t>Escribanias escribanos escribanas mandatario mandataria notarios notarias</t>
        </is>
      </c>
      <c r="D330" s="14" t="inlineStr">
        <is>
          <t>Escribanas</t>
        </is>
      </c>
      <c r="E330" s="19" t="n">
        <v>85</v>
      </c>
      <c r="F330" s="19" t="n">
        <v>8167</v>
      </c>
      <c r="G330" s="21" t="inlineStr">
        <is>
          <t>https://guiarsanrafael.com.ar/empresa/cerutti-norma-beatriz/</t>
        </is>
      </c>
    </row>
    <row r="331">
      <c r="A331" s="22" t="n">
        <v>330</v>
      </c>
      <c r="B331" s="23" t="inlineStr">
        <is>
          <t>CFC Taller Chapa y Pintura</t>
        </is>
      </c>
      <c r="C331" s="12" t="inlineStr">
        <is>
          <t>Estetica vehicular tuning</t>
        </is>
      </c>
      <c r="D331" s="12" t="inlineStr">
        <is>
          <t>Estetica vehicular</t>
        </is>
      </c>
      <c r="E331" s="22" t="n">
        <v>28</v>
      </c>
      <c r="F331" s="22" t="n">
        <v>11344</v>
      </c>
      <c r="G331" s="24" t="inlineStr">
        <is>
          <t>https://guiarsanrafael.com.ar/empresa/cfc-taller-chapa-y-pintura/</t>
        </is>
      </c>
    </row>
    <row r="332">
      <c r="A332" s="19" t="n">
        <v>331</v>
      </c>
      <c r="B332" s="20" t="inlineStr">
        <is>
          <t>CHAINE Taller de Chapa y Pintura</t>
        </is>
      </c>
      <c r="C332" s="14" t="inlineStr">
        <is>
          <t>Estetica vehicular tuning</t>
        </is>
      </c>
      <c r="D332" s="14" t="inlineStr">
        <is>
          <t>Taller chapa y pintura</t>
        </is>
      </c>
      <c r="E332" s="19" t="n">
        <v>138</v>
      </c>
      <c r="F332" s="19" t="n">
        <v>5822</v>
      </c>
      <c r="G332" s="21" t="inlineStr">
        <is>
          <t>https://guiarsanrafael.com.ar/empresa/chaine-taller-de-chapa-y-pintura/</t>
        </is>
      </c>
    </row>
    <row r="333">
      <c r="A333" s="22" t="n">
        <v>332</v>
      </c>
      <c r="B333" s="23" t="inlineStr">
        <is>
          <t>CIA Lubricantes</t>
        </is>
      </c>
      <c r="C333" s="12" t="inlineStr">
        <is>
          <t>Lubricantes aceites lubricentro</t>
        </is>
      </c>
      <c r="D333" s="12" t="inlineStr">
        <is>
          <t>Lubricantes</t>
        </is>
      </c>
      <c r="E333" s="22" t="n">
        <v>49</v>
      </c>
      <c r="F333" s="22" t="n">
        <v>9356</v>
      </c>
      <c r="G333" s="24" t="inlineStr">
        <is>
          <t>https://guiarsanrafael.com.ar/empresa/cia-lubricantes/</t>
        </is>
      </c>
    </row>
    <row r="334">
      <c r="A334" s="19" t="n">
        <v>333</v>
      </c>
      <c r="B334" s="20" t="inlineStr">
        <is>
          <t>CIFEL Veterinaria</t>
        </is>
      </c>
      <c r="C334" s="14" t="inlineStr">
        <is>
          <t>Alimentos balanceados</t>
        </is>
      </c>
      <c r="D334" s="14" t="inlineStr">
        <is>
          <t>Alimentos balanceados</t>
        </is>
      </c>
      <c r="E334" s="19" t="n">
        <v>13</v>
      </c>
      <c r="F334" s="19" t="n">
        <v>13029</v>
      </c>
      <c r="G334" s="21" t="inlineStr">
        <is>
          <t>https://guiarsanrafael.com.ar/empresa/cifel-veterinaria/</t>
        </is>
      </c>
    </row>
    <row r="335">
      <c r="A335" s="22" t="n">
        <v>334</v>
      </c>
      <c r="B335" s="23" t="inlineStr">
        <is>
          <t>Cinta Federico A.</t>
        </is>
      </c>
      <c r="C335" s="12" t="inlineStr">
        <is>
          <t>Abogados abogadas estudios juridicos</t>
        </is>
      </c>
      <c r="D335" s="12" t="inlineStr">
        <is>
          <t>Abogados</t>
        </is>
      </c>
      <c r="E335" s="22" t="n">
        <v>116</v>
      </c>
      <c r="F335" s="22" t="n">
        <v>7149</v>
      </c>
      <c r="G335" s="24" t="inlineStr">
        <is>
          <t>https://guiarsanrafael.com.ar/empresa/cinta-federico-a/</t>
        </is>
      </c>
    </row>
    <row r="336">
      <c r="A336" s="19" t="n">
        <v>335</v>
      </c>
      <c r="B336" s="20" t="inlineStr">
        <is>
          <t>CISA Centro Integral de Salud Animal</t>
        </is>
      </c>
      <c r="C336" s="14" t="inlineStr">
        <is>
          <t>Alimentos balanceados</t>
        </is>
      </c>
      <c r="D336" s="14" t="inlineStr">
        <is>
          <t>Alimentos balanceados</t>
        </is>
      </c>
      <c r="E336" s="19" t="n">
        <v>130</v>
      </c>
      <c r="F336" s="19" t="n">
        <v>6343</v>
      </c>
      <c r="G336" s="21" t="inlineStr">
        <is>
          <t>https://guiarsanrafael.com.ar/empresa/cisa-centro-integral-de-salud-animal/</t>
        </is>
      </c>
    </row>
    <row r="337">
      <c r="A337" s="22" t="n">
        <v>336</v>
      </c>
      <c r="B337" s="23" t="inlineStr">
        <is>
          <t>CITO PATH Laboratorio</t>
        </is>
      </c>
      <c r="C337" s="12" t="inlineStr">
        <is>
          <t>Anatomia patologica</t>
        </is>
      </c>
      <c r="D337" s="12" t="inlineStr">
        <is>
          <t>Anatomia patologica</t>
        </is>
      </c>
      <c r="E337" s="22" t="n">
        <v>167</v>
      </c>
      <c r="F337" s="22" t="n">
        <v>4763</v>
      </c>
      <c r="G337" s="24" t="inlineStr">
        <is>
          <t>https://guiarsanrafael.com.ar/empresa/cito-path-laboratorio/</t>
        </is>
      </c>
    </row>
    <row r="338">
      <c r="A338" s="19" t="n">
        <v>337</v>
      </c>
      <c r="B338" s="20" t="inlineStr">
        <is>
          <t>CLAUDIA BENITEZ</t>
        </is>
      </c>
      <c r="C338" s="14" t="inlineStr">
        <is>
          <t>Implantes</t>
        </is>
      </c>
      <c r="D338" s="14" t="inlineStr">
        <is>
          <t>Implantes</t>
        </is>
      </c>
      <c r="E338" s="19" t="n">
        <v>105</v>
      </c>
      <c r="F338" s="19" t="n">
        <v>7364</v>
      </c>
      <c r="G338" s="21" t="inlineStr">
        <is>
          <t>https://guiarsanrafael.com.ar/empresa/claudia-benitez/</t>
        </is>
      </c>
    </row>
    <row r="339">
      <c r="A339" s="22" t="n">
        <v>338</v>
      </c>
      <c r="B339" s="23" t="inlineStr">
        <is>
          <t>Claudia Nieto</t>
        </is>
      </c>
      <c r="C339" s="12" t="inlineStr">
        <is>
          <t>Nutricion nutricionistas</t>
        </is>
      </c>
      <c r="D339" s="12" t="inlineStr">
        <is>
          <t>Nutricionistas</t>
        </is>
      </c>
      <c r="E339" s="22" t="n">
        <v>149</v>
      </c>
      <c r="F339" s="22" t="n">
        <v>5431</v>
      </c>
      <c r="G339" s="24" t="inlineStr">
        <is>
          <t>https://guiarsanrafael.com.ar/empresa/claudia-nieto/</t>
        </is>
      </c>
    </row>
    <row r="340">
      <c r="A340" s="19" t="n">
        <v>339</v>
      </c>
      <c r="B340" s="20" t="inlineStr">
        <is>
          <t>CLAUDIA RADA</t>
        </is>
      </c>
      <c r="C340" s="14" t="inlineStr">
        <is>
          <t>Manicuria nails</t>
        </is>
      </c>
      <c r="D340" s="14" t="inlineStr">
        <is>
          <t>Manicuria</t>
        </is>
      </c>
      <c r="E340" s="19" t="n">
        <v>123</v>
      </c>
      <c r="F340" s="19" t="n">
        <v>6860</v>
      </c>
      <c r="G340" s="21" t="inlineStr">
        <is>
          <t>https://guiarsanrafael.com.ar/empresa/claudia-rada/</t>
        </is>
      </c>
    </row>
    <row r="341">
      <c r="A341" s="22" t="n">
        <v>340</v>
      </c>
      <c r="B341" s="23" t="inlineStr">
        <is>
          <t>CLAUDIA SCHIAVONE</t>
        </is>
      </c>
      <c r="C341" s="12" t="inlineStr">
        <is>
          <t>Cirugia plastica cirujano cirujana</t>
        </is>
      </c>
      <c r="D341" s="12" t="inlineStr">
        <is>
          <t>Cirugia plastica</t>
        </is>
      </c>
      <c r="E341" s="22" t="n">
        <v>160</v>
      </c>
      <c r="F341" s="22" t="n">
        <v>5272</v>
      </c>
      <c r="G341" s="24" t="inlineStr">
        <is>
          <t>https://guiarsanrafael.com.ar/empresa/claudia-schiavone/</t>
        </is>
      </c>
    </row>
    <row r="342">
      <c r="A342" s="19" t="n">
        <v>341</v>
      </c>
      <c r="B342" s="20" t="inlineStr">
        <is>
          <t>CLERICI Alineaciones</t>
        </is>
      </c>
      <c r="C342" s="14" t="inlineStr">
        <is>
          <t>Alineacion y balanceo</t>
        </is>
      </c>
      <c r="D342" s="14" t="inlineStr">
        <is>
          <t>Alineacion y balanceo</t>
        </is>
      </c>
      <c r="E342" s="19" t="n">
        <v>137</v>
      </c>
      <c r="F342" s="19" t="n">
        <v>5868</v>
      </c>
      <c r="G342" s="21" t="inlineStr">
        <is>
          <t>https://guiarsanrafael.com.ar/empresa/clerici-alineaciones/</t>
        </is>
      </c>
    </row>
    <row r="343">
      <c r="A343" s="22" t="n">
        <v>342</v>
      </c>
      <c r="B343" s="23" t="inlineStr">
        <is>
          <t>CLICK ELECTRICIDAD</t>
        </is>
      </c>
      <c r="C343" s="12" t="inlineStr">
        <is>
          <t>Electricidad iluminacion</t>
        </is>
      </c>
      <c r="D343" s="12" t="inlineStr">
        <is>
          <t>Electricidad</t>
        </is>
      </c>
      <c r="E343" s="22" t="n">
        <v>36</v>
      </c>
      <c r="F343" s="22" t="n">
        <v>10301</v>
      </c>
      <c r="G343" s="24" t="inlineStr">
        <is>
          <t>https://guiarsanrafael.com.ar/empresa/click-electricidad/</t>
        </is>
      </c>
    </row>
    <row r="344">
      <c r="A344" s="19" t="n">
        <v>343</v>
      </c>
      <c r="B344" s="20" t="inlineStr">
        <is>
          <t>CLIMA CAR Climatización</t>
        </is>
      </c>
      <c r="C344" s="14" t="inlineStr">
        <is>
          <t>Aire acondicionado</t>
        </is>
      </c>
      <c r="D344" s="14" t="inlineStr">
        <is>
          <t>Aire acondicionado</t>
        </is>
      </c>
      <c r="E344" s="19" t="n">
        <v>32</v>
      </c>
      <c r="F344" s="19" t="n">
        <v>10860</v>
      </c>
      <c r="G344" s="21" t="inlineStr">
        <is>
          <t>https://guiarsanrafael.com.ar/empresa/clima-car-climatizacion/</t>
        </is>
      </c>
    </row>
    <row r="345">
      <c r="A345" s="22" t="n">
        <v>344</v>
      </c>
      <c r="B345" s="23" t="inlineStr">
        <is>
          <t>CLIMASET Calefacción</t>
        </is>
      </c>
      <c r="C345" s="12" t="inlineStr">
        <is>
          <t>Calefaccion refrigeracion</t>
        </is>
      </c>
      <c r="D345" s="12" t="inlineStr">
        <is>
          <t>Calefaccion</t>
        </is>
      </c>
      <c r="E345" s="22" t="n">
        <v>33</v>
      </c>
      <c r="F345" s="22" t="n">
        <v>10719</v>
      </c>
      <c r="G345" s="24" t="inlineStr">
        <is>
          <t>https://guiarsanrafael.com.ar/empresa/climaset/</t>
        </is>
      </c>
    </row>
    <row r="346">
      <c r="A346" s="19" t="n">
        <v>345</v>
      </c>
      <c r="B346" s="20" t="inlineStr">
        <is>
          <t>CLINICA BOMBAL Excelencia en Oftalmología</t>
        </is>
      </c>
      <c r="C346" s="14" t="inlineStr">
        <is>
          <t>Institutos oftalmologicos oftalmologia oftalmologos</t>
        </is>
      </c>
      <c r="D346" s="14" t="inlineStr">
        <is>
          <t>Centro oftalmologico</t>
        </is>
      </c>
      <c r="E346" s="19" t="n">
        <v>161</v>
      </c>
      <c r="F346" s="19" t="n">
        <v>5225</v>
      </c>
      <c r="G346" s="21" t="inlineStr">
        <is>
          <t>https://guiarsanrafael.com.ar/empresa/clinica-bombal-excelencia-en-oftalmologia/</t>
        </is>
      </c>
    </row>
    <row r="347">
      <c r="A347" s="22" t="n">
        <v>346</v>
      </c>
      <c r="B347" s="23" t="inlineStr">
        <is>
          <t>Club de Pescadores San Rafael</t>
        </is>
      </c>
      <c r="C347" s="12" t="inlineStr">
        <is>
          <t>Camping</t>
        </is>
      </c>
      <c r="D347" s="12" t="inlineStr">
        <is>
          <t>Alojamientos</t>
        </is>
      </c>
      <c r="E347" s="22" t="n">
        <v>93</v>
      </c>
      <c r="F347" s="22" t="n">
        <v>7823</v>
      </c>
      <c r="G347" s="24" t="inlineStr">
        <is>
          <t>https://guiarsanrafael.com.ar/empresa/club-de-pescadores-san-rafael/</t>
        </is>
      </c>
    </row>
    <row r="348">
      <c r="A348" s="19" t="n">
        <v>347</v>
      </c>
      <c r="B348" s="20" t="inlineStr">
        <is>
          <t>Club Nautica y Pesca Los Reyunos</t>
        </is>
      </c>
      <c r="C348" s="14" t="inlineStr">
        <is>
          <t>Camping</t>
        </is>
      </c>
      <c r="D348" s="14" t="inlineStr">
        <is>
          <t>Alojamientos</t>
        </is>
      </c>
      <c r="E348" s="19" t="n">
        <v>93</v>
      </c>
      <c r="F348" s="19" t="n">
        <v>7821</v>
      </c>
      <c r="G348" s="21" t="inlineStr">
        <is>
          <t>https://guiarsanrafael.com.ar/empresa/club-nautica-y-pesca-los-reyunos/</t>
        </is>
      </c>
    </row>
    <row r="349">
      <c r="A349" s="22" t="n">
        <v>348</v>
      </c>
      <c r="B349" s="23" t="inlineStr">
        <is>
          <t>CLV Glow Beauty</t>
        </is>
      </c>
      <c r="C349" s="12" t="inlineStr">
        <is>
          <t>Centro de estetica</t>
        </is>
      </c>
      <c r="D349" s="12" t="inlineStr">
        <is>
          <t>Centro de estetica</t>
        </is>
      </c>
      <c r="E349" s="22" t="n">
        <v>78</v>
      </c>
      <c r="F349" s="22" t="n">
        <v>8275</v>
      </c>
      <c r="G349" s="24" t="inlineStr">
        <is>
          <t>https://guiarsanrafael.com.ar/empresa/cvl-glow-beauti/</t>
        </is>
      </c>
    </row>
    <row r="350">
      <c r="A350" s="19" t="n">
        <v>349</v>
      </c>
      <c r="B350" s="20" t="inlineStr">
        <is>
          <t>CLÁSICO y MODERNO</t>
        </is>
      </c>
      <c r="C350" s="14" t="inlineStr">
        <is>
          <t>Artesanias</t>
        </is>
      </c>
      <c r="D350" s="14" t="inlineStr">
        <is>
          <t>Artesanias</t>
        </is>
      </c>
      <c r="E350" s="19" t="n">
        <v>52</v>
      </c>
      <c r="F350" s="19" t="n">
        <v>9301</v>
      </c>
      <c r="G350" s="21" t="inlineStr">
        <is>
          <t>https://guiarsanrafael.com.ar/empresa/clasico-y-moderno-2/</t>
        </is>
      </c>
    </row>
    <row r="351">
      <c r="A351" s="22" t="n">
        <v>350</v>
      </c>
      <c r="B351" s="23" t="inlineStr">
        <is>
          <t>CLÁSICO y MODERNO</t>
        </is>
      </c>
      <c r="C351" s="12" t="inlineStr">
        <is>
          <t>Licoreria tienda de bebidas</t>
        </is>
      </c>
      <c r="D351" s="12" t="inlineStr">
        <is>
          <t>Almacen de vinos</t>
        </is>
      </c>
      <c r="E351" s="22" t="n">
        <v>98</v>
      </c>
      <c r="F351" s="22" t="n">
        <v>7511</v>
      </c>
      <c r="G351" s="24" t="inlineStr">
        <is>
          <t>https://guiarsanrafael.com.ar/empresa/clasico-y-moderno/</t>
        </is>
      </c>
    </row>
    <row r="352">
      <c r="A352" s="19" t="n">
        <v>351</v>
      </c>
      <c r="B352" s="20" t="inlineStr">
        <is>
          <t>Clínica Veterinaria Huellitas de Amor</t>
        </is>
      </c>
      <c r="C352" s="14" t="inlineStr">
        <is>
          <t>Tienda para mascotas veterinaria</t>
        </is>
      </c>
      <c r="D352" s="14" t="inlineStr">
        <is>
          <t>Veterinarias</t>
        </is>
      </c>
      <c r="E352" s="19" t="n">
        <v>45</v>
      </c>
      <c r="F352" s="19" t="n">
        <v>9654</v>
      </c>
      <c r="G352" s="21" t="inlineStr">
        <is>
          <t>https://guiarsanrafael.com.ar/empresa/clinica-veterinaria-huellitas-de-amor/</t>
        </is>
      </c>
    </row>
    <row r="353">
      <c r="A353" s="22" t="n">
        <v>352</v>
      </c>
      <c r="B353" s="23" t="inlineStr">
        <is>
          <t>Clínica Veterinaria Sumarán</t>
        </is>
      </c>
      <c r="C353" s="12" t="inlineStr">
        <is>
          <t>Tienda para mascotas veterinaria</t>
        </is>
      </c>
      <c r="D353" s="12" t="inlineStr">
        <is>
          <t>Veterinarias</t>
        </is>
      </c>
      <c r="E353" s="22" t="n">
        <v>45</v>
      </c>
      <c r="F353" s="22" t="n">
        <v>9652</v>
      </c>
      <c r="G353" s="24" t="inlineStr">
        <is>
          <t>https://guiarsanrafael.com.ar/empresa/clinica-veterinaria-sumaran/</t>
        </is>
      </c>
    </row>
    <row r="354">
      <c r="A354" s="19" t="n">
        <v>353</v>
      </c>
      <c r="B354" s="20" t="inlineStr">
        <is>
          <t>Clínica Veterinaría Belgrano</t>
        </is>
      </c>
      <c r="C354" s="14" t="inlineStr">
        <is>
          <t>Tienda para mascotas veterinaria</t>
        </is>
      </c>
      <c r="D354" s="14" t="inlineStr">
        <is>
          <t>Veterinarias</t>
        </is>
      </c>
      <c r="E354" s="19" t="n">
        <v>46</v>
      </c>
      <c r="F354" s="19" t="n">
        <v>9644</v>
      </c>
      <c r="G354" s="21" t="inlineStr">
        <is>
          <t>https://guiarsanrafael.com.ar/empresa/clinica-veterinaria-belgrano/</t>
        </is>
      </c>
    </row>
    <row r="355">
      <c r="A355" s="22" t="n">
        <v>354</v>
      </c>
      <c r="B355" s="23" t="inlineStr">
        <is>
          <t>CMV Alarmas &amp; Electrónica</t>
        </is>
      </c>
      <c r="C355" s="12" t="inlineStr">
        <is>
          <t>Alarmas</t>
        </is>
      </c>
      <c r="D355" s="12" t="inlineStr">
        <is>
          <t>Alarmas</t>
        </is>
      </c>
      <c r="E355" s="22" t="n">
        <v>66</v>
      </c>
      <c r="F355" s="22" t="n">
        <v>8541</v>
      </c>
      <c r="G355" s="24" t="inlineStr">
        <is>
          <t>https://guiarsanrafael.com.ar/empresa/cmv-alarmas-electronica/</t>
        </is>
      </c>
    </row>
    <row r="356">
      <c r="A356" s="19" t="n">
        <v>355</v>
      </c>
      <c r="B356" s="20" t="inlineStr">
        <is>
          <t>Cocco Karla Andrea</t>
        </is>
      </c>
      <c r="C356" s="14" t="inlineStr">
        <is>
          <t>Abogados abogadas estudios juridicos</t>
        </is>
      </c>
      <c r="D356" s="14" t="inlineStr">
        <is>
          <t>Abogadas</t>
        </is>
      </c>
      <c r="E356" s="19" t="n">
        <v>109</v>
      </c>
      <c r="F356" s="19" t="n">
        <v>7249</v>
      </c>
      <c r="G356" s="21" t="inlineStr">
        <is>
          <t>https://guiarsanrafael.com.ar/empresa/cocco-karla-andrea/</t>
        </is>
      </c>
    </row>
    <row r="357">
      <c r="A357" s="22" t="n">
        <v>356</v>
      </c>
      <c r="B357" s="23" t="inlineStr">
        <is>
          <t>COCHERIA ARIEL GOMEZ</t>
        </is>
      </c>
      <c r="C357" s="12" t="inlineStr">
        <is>
          <t>Cremaciones salas velatorias</t>
        </is>
      </c>
      <c r="D357" s="12" t="inlineStr">
        <is>
          <t>Cocherias sala velatorias</t>
        </is>
      </c>
      <c r="E357" s="22" t="n">
        <v>41</v>
      </c>
      <c r="F357" s="22" t="n">
        <v>9943</v>
      </c>
      <c r="G357" s="24" t="inlineStr">
        <is>
          <t>https://guiarsanrafael.com.ar/empresa/cocheria-ariel-gomez/</t>
        </is>
      </c>
    </row>
    <row r="358">
      <c r="A358" s="19" t="n">
        <v>357</v>
      </c>
      <c r="B358" s="20" t="inlineStr">
        <is>
          <t>Coduti Emanuel</t>
        </is>
      </c>
      <c r="C358" s="14" t="inlineStr">
        <is>
          <t>Abogados abogadas estudios juridicos</t>
        </is>
      </c>
      <c r="D358" s="14" t="inlineStr">
        <is>
          <t>Abogados</t>
        </is>
      </c>
      <c r="E358" s="19" t="n">
        <v>118</v>
      </c>
      <c r="F358" s="19" t="n">
        <v>7135</v>
      </c>
      <c r="G358" s="21" t="inlineStr">
        <is>
          <t>https://guiarsanrafael.com.ar/empresa/coduti-emanuel/</t>
        </is>
      </c>
    </row>
    <row r="359">
      <c r="A359" s="22" t="n">
        <v>358</v>
      </c>
      <c r="B359" s="23" t="inlineStr">
        <is>
          <t>COLETTA Esteban Raul</t>
        </is>
      </c>
      <c r="C359" s="12" t="inlineStr">
        <is>
          <t>Escribanias escribanos escribanas mandatario mandataria notarios notarias</t>
        </is>
      </c>
      <c r="D359" s="12" t="inlineStr">
        <is>
          <t>Escribanas</t>
        </is>
      </c>
      <c r="E359" s="22" t="n">
        <v>85</v>
      </c>
      <c r="F359" s="22" t="n">
        <v>8168</v>
      </c>
      <c r="G359" s="24" t="inlineStr">
        <is>
          <t>https://guiarsanrafael.com.ar/empresa/coletta-esteban-raul/</t>
        </is>
      </c>
    </row>
    <row r="360">
      <c r="A360" s="19" t="n">
        <v>359</v>
      </c>
      <c r="B360" s="20" t="inlineStr">
        <is>
          <t>COLORINA Apart Hotel y Spa</t>
        </is>
      </c>
      <c r="C360" s="14" t="inlineStr">
        <is>
          <t>Apar thotel</t>
        </is>
      </c>
      <c r="D360" s="14" t="inlineStr">
        <is>
          <t>Alojamientos</t>
        </is>
      </c>
      <c r="E360" s="19" t="n">
        <v>92</v>
      </c>
      <c r="F360" s="19" t="n">
        <v>7836</v>
      </c>
      <c r="G360" s="21" t="inlineStr">
        <is>
          <t>https://guiarsanrafael.com.ar/empresa/colorina-apart-hotel-y-spa/</t>
        </is>
      </c>
    </row>
    <row r="361">
      <c r="A361" s="22" t="n">
        <v>360</v>
      </c>
      <c r="B361" s="23" t="inlineStr">
        <is>
          <t>Complejo Carmen</t>
        </is>
      </c>
      <c r="C361" s="12" t="inlineStr">
        <is>
          <t>Alojamiento cabanas camping</t>
        </is>
      </c>
      <c r="D361" s="12" t="inlineStr">
        <is>
          <t>Alojamientos</t>
        </is>
      </c>
      <c r="E361" s="22" t="n">
        <v>93</v>
      </c>
      <c r="F361" s="22" t="n">
        <v>7820</v>
      </c>
      <c r="G361" s="24" t="inlineStr">
        <is>
          <t>https://guiarsanrafael.com.ar/empresa/complejo-carmen/</t>
        </is>
      </c>
    </row>
    <row r="362">
      <c r="A362" s="19" t="n">
        <v>361</v>
      </c>
      <c r="B362" s="20" t="inlineStr">
        <is>
          <t>COMPLEJO DERQUI</t>
        </is>
      </c>
      <c r="C362" s="14" t="inlineStr">
        <is>
          <t>Alojamiento cabanas camping</t>
        </is>
      </c>
      <c r="D362" s="14" t="inlineStr">
        <is>
          <t>Complejos turisticos</t>
        </is>
      </c>
      <c r="E362" s="19" t="n">
        <v>60</v>
      </c>
      <c r="F362" s="19" t="n">
        <v>8838</v>
      </c>
      <c r="G362" s="21" t="inlineStr">
        <is>
          <t>https://guiarsanrafael.com.ar/empresa/complejo-derqui/</t>
        </is>
      </c>
    </row>
    <row r="363">
      <c r="A363" s="22" t="n">
        <v>362</v>
      </c>
      <c r="B363" s="23" t="inlineStr">
        <is>
          <t>Complejo Miguel Cané</t>
        </is>
      </c>
      <c r="C363" s="12" t="inlineStr">
        <is>
          <t>Complejo turisticos</t>
        </is>
      </c>
      <c r="D363" s="12" t="inlineStr">
        <is>
          <t>Alojamientos</t>
        </is>
      </c>
      <c r="E363" s="22" t="n">
        <v>59</v>
      </c>
      <c r="F363" s="22" t="n">
        <v>8907</v>
      </c>
      <c r="G363" s="24" t="inlineStr">
        <is>
          <t>https://guiarsanrafael.com.ar/empresa/complejo-miguel-cane/</t>
        </is>
      </c>
    </row>
    <row r="364">
      <c r="A364" s="19" t="n">
        <v>363</v>
      </c>
      <c r="B364" s="20" t="inlineStr">
        <is>
          <t>COMPUTACION DC</t>
        </is>
      </c>
      <c r="C364" s="14" t="inlineStr">
        <is>
          <t>Computacion informatica</t>
        </is>
      </c>
      <c r="D364" s="14" t="inlineStr">
        <is>
          <t>Computacion</t>
        </is>
      </c>
      <c r="E364" s="19" t="n">
        <v>180</v>
      </c>
      <c r="F364" s="19" t="n">
        <v>3893</v>
      </c>
      <c r="G364" s="21" t="inlineStr">
        <is>
          <t>https://guiarsanrafael.com.ar/empresa/computacion-dc/</t>
        </is>
      </c>
    </row>
    <row r="365">
      <c r="A365" s="22" t="n">
        <v>364</v>
      </c>
      <c r="B365" s="23" t="inlineStr">
        <is>
          <t>COMPUVAL Insumos de Computación</t>
        </is>
      </c>
      <c r="C365" s="12" t="inlineStr">
        <is>
          <t>Computacion informatica</t>
        </is>
      </c>
      <c r="D365" s="12" t="inlineStr">
        <is>
          <t>Computacion</t>
        </is>
      </c>
      <c r="E365" s="22" t="n">
        <v>8</v>
      </c>
      <c r="F365" s="22" t="n">
        <v>14015</v>
      </c>
      <c r="G365" s="24" t="inlineStr">
        <is>
          <t>https://guiarsanrafael.com.ar/empresa/compuval-insumos-de-computacion/</t>
        </is>
      </c>
    </row>
    <row r="366">
      <c r="A366" s="19" t="n">
        <v>365</v>
      </c>
      <c r="B366" s="20" t="inlineStr">
        <is>
          <t>Condori Nancy Susana</t>
        </is>
      </c>
      <c r="C366" s="14" t="inlineStr">
        <is>
          <t>Abogados abogadas estudios juridicos</t>
        </is>
      </c>
      <c r="D366" s="14" t="inlineStr">
        <is>
          <t>Abogadas</t>
        </is>
      </c>
      <c r="E366" s="19" t="n">
        <v>113</v>
      </c>
      <c r="F366" s="19" t="n">
        <v>7184</v>
      </c>
      <c r="G366" s="21" t="inlineStr">
        <is>
          <t>https://guiarsanrafael.com.ar/empresa/condori-nancy-susana/</t>
        </is>
      </c>
    </row>
    <row r="367">
      <c r="A367" s="22" t="n">
        <v>366</v>
      </c>
      <c r="B367" s="23" t="inlineStr">
        <is>
          <t>Constanza Andreoni</t>
        </is>
      </c>
      <c r="C367" s="12" t="inlineStr">
        <is>
          <t>Clinica del lenguaje</t>
        </is>
      </c>
      <c r="D367" s="12" t="inlineStr">
        <is>
          <t>Clinica del lenguaje</t>
        </is>
      </c>
      <c r="E367" s="22" t="n">
        <v>157</v>
      </c>
      <c r="F367" s="22" t="n">
        <v>5303</v>
      </c>
      <c r="G367" s="24" t="inlineStr">
        <is>
          <t>https://guiarsanrafael.com.ar/empresa/constanza-andreoni/</t>
        </is>
      </c>
    </row>
    <row r="368">
      <c r="A368" s="19" t="n">
        <v>367</v>
      </c>
      <c r="B368" s="20" t="inlineStr">
        <is>
          <t>CONSULTORIOS ATUEL</t>
        </is>
      </c>
      <c r="C368" s="14" t="inlineStr">
        <is>
          <t>Centro de rehabilitacion</t>
        </is>
      </c>
      <c r="D368" s="14" t="inlineStr">
        <is>
          <t>Centro de rehabilitacion</t>
        </is>
      </c>
      <c r="E368" s="19" t="n">
        <v>165</v>
      </c>
      <c r="F368" s="19" t="n">
        <v>4978</v>
      </c>
      <c r="G368" s="21" t="inlineStr">
        <is>
          <t>https://guiarsanrafael.com.ar/empresa/consultorios-atuel/</t>
        </is>
      </c>
    </row>
    <row r="369">
      <c r="A369" s="22" t="n">
        <v>368</v>
      </c>
      <c r="B369" s="23" t="inlineStr">
        <is>
          <t>CONSULTORIOS MEDICOS CUYO</t>
        </is>
      </c>
      <c r="C369" s="12" t="inlineStr">
        <is>
          <t>Consultorios medicos</t>
        </is>
      </c>
      <c r="D369" s="12" t="inlineStr">
        <is>
          <t>Consultorios medicos</t>
        </is>
      </c>
      <c r="E369" s="22" t="n">
        <v>42</v>
      </c>
      <c r="F369" s="22" t="n">
        <v>9853</v>
      </c>
      <c r="G369" s="24" t="inlineStr">
        <is>
          <t>https://guiarsanrafael.com.ar/empresa/consultorios-medicos-cuyo/</t>
        </is>
      </c>
    </row>
    <row r="370">
      <c r="A370" s="19" t="n">
        <v>369</v>
      </c>
      <c r="B370" s="20" t="inlineStr">
        <is>
          <t>CONTROL Desinfecciones</t>
        </is>
      </c>
      <c r="C370" s="14" t="inlineStr">
        <is>
          <t>Control de plagas desinfecciones fumigaciones</t>
        </is>
      </c>
      <c r="D370" s="14" t="inlineStr">
        <is>
          <t>Control de plagas</t>
        </is>
      </c>
      <c r="E370" s="19" t="n">
        <v>95</v>
      </c>
      <c r="F370" s="19" t="n">
        <v>7676</v>
      </c>
      <c r="G370" s="21" t="inlineStr">
        <is>
          <t>https://guiarsanrafael.com.ar/empresa/control-desinfecciones/</t>
        </is>
      </c>
    </row>
    <row r="371">
      <c r="A371" s="22" t="n">
        <v>370</v>
      </c>
      <c r="B371" s="23" t="inlineStr">
        <is>
          <t>COP Centro Oftalmológico Privado</t>
        </is>
      </c>
      <c r="C371" s="12" t="inlineStr">
        <is>
          <t>Institutos oftalmologicos oftalmologia oftalmologos</t>
        </is>
      </c>
      <c r="D371" s="12" t="inlineStr">
        <is>
          <t>Centro oftalmologico</t>
        </is>
      </c>
      <c r="E371" s="22" t="n">
        <v>139</v>
      </c>
      <c r="F371" s="22" t="n">
        <v>5662</v>
      </c>
      <c r="G371" s="24" t="inlineStr">
        <is>
          <t>https://guiarsanrafael.com.ar/empresa/cop-centro-oftalmologico-privado/</t>
        </is>
      </c>
    </row>
    <row r="372">
      <c r="A372" s="19" t="n">
        <v>371</v>
      </c>
      <c r="B372" s="20" t="inlineStr">
        <is>
          <t>COPETEO Tienda de vinos</t>
        </is>
      </c>
      <c r="C372" s="14" t="inlineStr">
        <is>
          <t>Tinenda de bebidas vinotecas licores</t>
        </is>
      </c>
      <c r="D372" s="14" t="inlineStr">
        <is>
          <t>Tienda de bebidas</t>
        </is>
      </c>
      <c r="E372" s="19" t="n">
        <v>51</v>
      </c>
      <c r="F372" s="19" t="n">
        <v>9311</v>
      </c>
      <c r="G372" s="21" t="inlineStr">
        <is>
          <t>https://guiarsanrafael.com.ar/empresa/copeteo-tienda-de-vinos/</t>
        </is>
      </c>
    </row>
    <row r="373">
      <c r="A373" s="22" t="n">
        <v>372</v>
      </c>
      <c r="B373" s="23" t="inlineStr">
        <is>
          <t>CORBO WINE BAR</t>
        </is>
      </c>
      <c r="C373" s="12" t="inlineStr">
        <is>
          <t>Restaurantes parrilas</t>
        </is>
      </c>
      <c r="D373" s="12" t="inlineStr">
        <is>
          <t>Restaurantes</t>
        </is>
      </c>
      <c r="E373" s="22" t="n">
        <v>38</v>
      </c>
      <c r="F373" s="22" t="n">
        <v>10251</v>
      </c>
      <c r="G373" s="24" t="inlineStr">
        <is>
          <t>https://guiarsanrafael.com.ar/empresa/corbo-wine-bar/</t>
        </is>
      </c>
    </row>
    <row r="374">
      <c r="A374" s="19" t="n">
        <v>373</v>
      </c>
      <c r="B374" s="20" t="inlineStr">
        <is>
          <t>Cordero María Laura</t>
        </is>
      </c>
      <c r="C374" s="14" t="inlineStr">
        <is>
          <t>Abogados abogadas estudios juridicos</t>
        </is>
      </c>
      <c r="D374" s="14" t="inlineStr">
        <is>
          <t>Abogadas</t>
        </is>
      </c>
      <c r="E374" s="19" t="n">
        <v>115</v>
      </c>
      <c r="F374" s="19" t="n">
        <v>7162</v>
      </c>
      <c r="G374" s="21" t="inlineStr">
        <is>
          <t>https://guiarsanrafael.com.ar/empresa/cordero-maria-laura/</t>
        </is>
      </c>
    </row>
    <row r="375">
      <c r="A375" s="22" t="n">
        <v>374</v>
      </c>
      <c r="B375" s="23" t="inlineStr">
        <is>
          <t>Cornejo Noelia</t>
        </is>
      </c>
      <c r="C375" s="12" t="inlineStr">
        <is>
          <t>Abogados abogadas estudios juridicos</t>
        </is>
      </c>
      <c r="D375" s="12" t="inlineStr">
        <is>
          <t>Abogadas</t>
        </is>
      </c>
      <c r="E375" s="22" t="n">
        <v>120</v>
      </c>
      <c r="F375" s="22" t="n">
        <v>7109</v>
      </c>
      <c r="G375" s="24" t="inlineStr">
        <is>
          <t>https://guiarsanrafael.com.ar/empresa/cornejo-noelia/</t>
        </is>
      </c>
    </row>
    <row r="376">
      <c r="A376" s="19" t="n">
        <v>375</v>
      </c>
      <c r="B376" s="20" t="inlineStr">
        <is>
          <t>CORONEL María Celina</t>
        </is>
      </c>
      <c r="C376" s="14" t="inlineStr">
        <is>
          <t>Escribanias escribanos escribanas mandatario mandataria notarios notarias</t>
        </is>
      </c>
      <c r="D376" s="14" t="inlineStr">
        <is>
          <t>Escribanas</t>
        </is>
      </c>
      <c r="E376" s="19" t="n">
        <v>85</v>
      </c>
      <c r="F376" s="19" t="n">
        <v>8169</v>
      </c>
      <c r="G376" s="21" t="inlineStr">
        <is>
          <t>https://guiarsanrafael.com.ar/empresa/coronel-maria-celina/</t>
        </is>
      </c>
    </row>
    <row r="377">
      <c r="A377" s="22" t="n">
        <v>376</v>
      </c>
      <c r="B377" s="23" t="inlineStr">
        <is>
          <t>CORPOBELLO</t>
        </is>
      </c>
      <c r="C377" s="12" t="inlineStr">
        <is>
          <t>Centro de estetica</t>
        </is>
      </c>
      <c r="D377" s="12" t="inlineStr">
        <is>
          <t>Centro de estetica</t>
        </is>
      </c>
      <c r="E377" s="22" t="n">
        <v>181</v>
      </c>
      <c r="F377" s="22" t="n">
        <v>9761</v>
      </c>
      <c r="G377" s="24" t="inlineStr">
        <is>
          <t>https://guiarsanrafael.com.ar/empresa/corpobello/</t>
        </is>
      </c>
    </row>
    <row r="378">
      <c r="A378" s="19" t="n">
        <v>377</v>
      </c>
      <c r="B378" s="20" t="inlineStr">
        <is>
          <t>Correa María Virginia</t>
        </is>
      </c>
      <c r="C378" s="14" t="inlineStr">
        <is>
          <t>Abogados abogadas estudios juridicos</t>
        </is>
      </c>
      <c r="D378" s="14" t="inlineStr">
        <is>
          <t>Abogadas</t>
        </is>
      </c>
      <c r="E378" s="19" t="n">
        <v>109</v>
      </c>
      <c r="F378" s="19" t="n">
        <v>7250</v>
      </c>
      <c r="G378" s="21" t="inlineStr">
        <is>
          <t>https://guiarsanrafael.com.ar/empresa/correa-maria-virginia/</t>
        </is>
      </c>
    </row>
    <row r="379">
      <c r="A379" s="22" t="n">
        <v>378</v>
      </c>
      <c r="B379" s="23" t="inlineStr">
        <is>
          <t>Corvalan Raul Alberto</t>
        </is>
      </c>
      <c r="C379" s="12" t="inlineStr">
        <is>
          <t>Abogados abogadas estudios juridicos</t>
        </is>
      </c>
      <c r="D379" s="12" t="inlineStr">
        <is>
          <t>Abogadas</t>
        </is>
      </c>
      <c r="E379" s="22" t="n">
        <v>118</v>
      </c>
      <c r="F379" s="22" t="n">
        <v>7131</v>
      </c>
      <c r="G379" s="24" t="inlineStr">
        <is>
          <t>https://guiarsanrafael.com.ar/empresa/corvalan-raul-alberto/</t>
        </is>
      </c>
    </row>
    <row r="380">
      <c r="A380" s="19" t="n">
        <v>379</v>
      </c>
      <c r="B380" s="20" t="inlineStr">
        <is>
          <t>COSMOS CONSTRUCTORA</t>
        </is>
      </c>
      <c r="C380" s="14" t="inlineStr">
        <is>
          <t>Constructoras</t>
        </is>
      </c>
      <c r="D380" s="14" t="inlineStr">
        <is>
          <t>Constructoras</t>
        </is>
      </c>
      <c r="E380" s="19" t="n">
        <v>137</v>
      </c>
      <c r="F380" s="19" t="n">
        <v>5836</v>
      </c>
      <c r="G380" s="21" t="inlineStr">
        <is>
          <t>https://guiarsanrafael.com.ar/empresa/cosmos-constructora/</t>
        </is>
      </c>
    </row>
    <row r="381">
      <c r="A381" s="22" t="n">
        <v>380</v>
      </c>
      <c r="B381" s="23" t="inlineStr">
        <is>
          <t>COSR Circulo Odontologico San Rafael</t>
        </is>
      </c>
      <c r="C381" s="12" t="inlineStr">
        <is>
          <t>Aeropuerto aerodromo</t>
        </is>
      </c>
      <c r="D381" s="12" t="inlineStr">
        <is>
          <t>Accesorios de telefonia</t>
        </is>
      </c>
      <c r="E381" s="22" t="n">
        <v>101</v>
      </c>
      <c r="F381" s="22" t="n">
        <v>7400</v>
      </c>
      <c r="G381" s="24" t="inlineStr">
        <is>
          <t>https://guiarsanrafael.com.ar/empresa/cosr-circulo-odontologico-san-rafael/</t>
        </is>
      </c>
    </row>
    <row r="382">
      <c r="A382" s="19" t="n">
        <v>381</v>
      </c>
      <c r="B382" s="20" t="inlineStr">
        <is>
          <t>COTILLON ARCO</t>
        </is>
      </c>
      <c r="C382" s="14" t="inlineStr">
        <is>
          <t>Cotillon</t>
        </is>
      </c>
      <c r="D382" s="14" t="inlineStr">
        <is>
          <t>Cotillon</t>
        </is>
      </c>
      <c r="E382" s="19" t="n">
        <v>10</v>
      </c>
      <c r="F382" s="19" t="n">
        <v>13535</v>
      </c>
      <c r="G382" s="21" t="inlineStr">
        <is>
          <t>https://guiarsanrafael.com.ar/empresa/cotillon-arco/</t>
        </is>
      </c>
    </row>
    <row r="383">
      <c r="A383" s="22" t="n">
        <v>382</v>
      </c>
      <c r="B383" s="23" t="inlineStr">
        <is>
          <t>COTILLON del CORREO</t>
        </is>
      </c>
      <c r="C383" s="12" t="inlineStr">
        <is>
          <t>Cotillon</t>
        </is>
      </c>
      <c r="D383" s="12" t="inlineStr">
        <is>
          <t>Cotillon</t>
        </is>
      </c>
      <c r="E383" s="22" t="n">
        <v>4</v>
      </c>
      <c r="F383" s="22" t="n">
        <v>14630</v>
      </c>
      <c r="G383" s="24" t="inlineStr">
        <is>
          <t>https://guiarsanrafael.com.ar/empresa/cotillon-del-correo/</t>
        </is>
      </c>
    </row>
    <row r="384">
      <c r="A384" s="19" t="n">
        <v>383</v>
      </c>
      <c r="B384" s="20" t="inlineStr">
        <is>
          <t>CRESCO Centro de Rehabilitación de Escoliosis</t>
        </is>
      </c>
      <c r="C384" s="14" t="inlineStr">
        <is>
          <t>Centro de rehabilitacion</t>
        </is>
      </c>
      <c r="D384" s="14" t="inlineStr">
        <is>
          <t>Centro de rehabilitacion</t>
        </is>
      </c>
      <c r="E384" s="19" t="n">
        <v>22</v>
      </c>
      <c r="F384" s="19" t="n">
        <v>12037</v>
      </c>
      <c r="G384" s="21" t="inlineStr">
        <is>
          <t>https://guiarsanrafael.com.ar/empresa/cresco-centro-de-rehabilitacion-de-escoliosis/</t>
        </is>
      </c>
    </row>
    <row r="385">
      <c r="A385" s="22" t="n">
        <v>384</v>
      </c>
      <c r="B385" s="23" t="inlineStr">
        <is>
          <t>CRISTALERIA EL DIAMANTE</t>
        </is>
      </c>
      <c r="C385" s="12" t="inlineStr">
        <is>
          <t>Cristaleria vidrios</t>
        </is>
      </c>
      <c r="D385" s="12" t="inlineStr">
        <is>
          <t>Cristalerias</t>
        </is>
      </c>
      <c r="E385" s="22" t="n">
        <v>180</v>
      </c>
      <c r="F385" s="22" t="n">
        <v>3909</v>
      </c>
      <c r="G385" s="24" t="inlineStr">
        <is>
          <t>https://guiarsanrafael.com.ar/empresa/cristaleria-el-ciamante/</t>
        </is>
      </c>
    </row>
    <row r="386">
      <c r="A386" s="19" t="n">
        <v>385</v>
      </c>
      <c r="B386" s="20" t="inlineStr">
        <is>
          <t>CRISTALES LOPEZ</t>
        </is>
      </c>
      <c r="C386" s="14" t="inlineStr">
        <is>
          <t>Cristaleria vidrios</t>
        </is>
      </c>
      <c r="D386" s="14" t="inlineStr">
        <is>
          <t>Cristalerias</t>
        </is>
      </c>
      <c r="E386" s="19" t="n">
        <v>66</v>
      </c>
      <c r="F386" s="19" t="n">
        <v>8552</v>
      </c>
      <c r="G386" s="21" t="inlineStr">
        <is>
          <t>https://guiarsanrafael.com.ar/empresa/cristales-lopez/</t>
        </is>
      </c>
    </row>
    <row r="387">
      <c r="A387" s="22" t="n">
        <v>386</v>
      </c>
      <c r="B387" s="23" t="inlineStr">
        <is>
          <t>CRISTIAN FORNARA</t>
        </is>
      </c>
      <c r="C387" s="12" t="inlineStr">
        <is>
          <t>Ginecologia y obsterticia</t>
        </is>
      </c>
      <c r="D387" s="12" t="inlineStr">
        <is>
          <t>Ginecologia y obsterticia</t>
        </is>
      </c>
      <c r="E387" s="22" t="n">
        <v>30</v>
      </c>
      <c r="F387" s="22" t="n">
        <v>11132</v>
      </c>
      <c r="G387" s="24" t="inlineStr">
        <is>
          <t>https://guiarsanrafael.com.ar/empresa/cristian-fornara/</t>
        </is>
      </c>
    </row>
    <row r="388">
      <c r="A388" s="19" t="n">
        <v>387</v>
      </c>
      <c r="B388" s="20" t="inlineStr">
        <is>
          <t>CRISTIAN GINESTAR</t>
        </is>
      </c>
      <c r="C388" s="14" t="inlineStr">
        <is>
          <t>Veterinarios</t>
        </is>
      </c>
      <c r="D388" s="14" t="inlineStr">
        <is>
          <t>Veterinarios</t>
        </is>
      </c>
      <c r="E388" s="19" t="n">
        <v>135</v>
      </c>
      <c r="F388" s="19" t="n">
        <v>6021</v>
      </c>
      <c r="G388" s="21" t="inlineStr">
        <is>
          <t>https://guiarsanrafael.com.ar/empresa/cristian-ginestar/</t>
        </is>
      </c>
    </row>
    <row r="389">
      <c r="A389" s="22" t="n">
        <v>388</v>
      </c>
      <c r="B389" s="23" t="inlineStr">
        <is>
          <t>CRISTIAN PAPAGNI</t>
        </is>
      </c>
      <c r="C389" s="12" t="inlineStr">
        <is>
          <t>Cirujanos cirugia</t>
        </is>
      </c>
      <c r="D389" s="12" t="inlineStr">
        <is>
          <t>Urologia</t>
        </is>
      </c>
      <c r="E389" s="22" t="n">
        <v>56</v>
      </c>
      <c r="F389" s="22" t="n">
        <v>9130</v>
      </c>
      <c r="G389" s="24" t="inlineStr">
        <is>
          <t>https://guiarsanrafael.com.ar/empresa/cristian-papagni/</t>
        </is>
      </c>
    </row>
    <row r="390">
      <c r="A390" s="19" t="n">
        <v>389</v>
      </c>
      <c r="B390" s="20" t="inlineStr">
        <is>
          <t>CRISTIAN SUBIRIS</t>
        </is>
      </c>
      <c r="C390" s="14" t="inlineStr">
        <is>
          <t>Kinesiologia y fisioterapia</t>
        </is>
      </c>
      <c r="D390" s="14" t="inlineStr">
        <is>
          <t>Centro de rehabilitacion</t>
        </is>
      </c>
      <c r="E390" s="19" t="n">
        <v>33</v>
      </c>
      <c r="F390" s="19" t="n">
        <v>10558</v>
      </c>
      <c r="G390" s="21" t="inlineStr">
        <is>
          <t>https://guiarsanrafael.com.ar/empresa/cristian-subiris/</t>
        </is>
      </c>
    </row>
    <row r="391">
      <c r="A391" s="22" t="n">
        <v>390</v>
      </c>
      <c r="B391" s="23" t="inlineStr">
        <is>
          <t>CRISTINA GÓMEZ</t>
        </is>
      </c>
      <c r="C391" s="12" t="inlineStr">
        <is>
          <t>Clinica medica</t>
        </is>
      </c>
      <c r="D391" s="12" t="inlineStr">
        <is>
          <t>Nefrologia</t>
        </is>
      </c>
      <c r="E391" s="22" t="n">
        <v>124</v>
      </c>
      <c r="F391" s="22" t="n">
        <v>6802</v>
      </c>
      <c r="G391" s="24" t="inlineStr">
        <is>
          <t>https://guiarsanrafael.com.ar/empresa/cristina-gomez/</t>
        </is>
      </c>
    </row>
    <row r="392">
      <c r="A392" s="19" t="n">
        <v>391</v>
      </c>
      <c r="B392" s="20" t="inlineStr">
        <is>
          <t>Cruz	Marco Valentín</t>
        </is>
      </c>
      <c r="C392" s="14" t="inlineStr">
        <is>
          <t>Abogados abogadas estudios juridicos</t>
        </is>
      </c>
      <c r="D392" s="14" t="inlineStr">
        <is>
          <t>Abogados</t>
        </is>
      </c>
      <c r="E392" s="19" t="n">
        <v>108</v>
      </c>
      <c r="F392" s="19" t="n">
        <v>7253</v>
      </c>
      <c r="G392" s="21" t="inlineStr">
        <is>
          <t>https://guiarsanrafael.com.ar/empresa/cruzmarco-valentin/</t>
        </is>
      </c>
    </row>
    <row r="393">
      <c r="A393" s="22" t="n">
        <v>392</v>
      </c>
      <c r="B393" s="23" t="inlineStr">
        <is>
          <t>CRUZ DE MOLINA Cecilia Gabriela</t>
        </is>
      </c>
      <c r="C393" s="12" t="inlineStr">
        <is>
          <t>Escribanias escribanos escribanas mandatario mandataria notarios notarias</t>
        </is>
      </c>
      <c r="D393" s="12" t="inlineStr">
        <is>
          <t>Escribanas</t>
        </is>
      </c>
      <c r="E393" s="22" t="n">
        <v>85</v>
      </c>
      <c r="F393" s="22" t="n">
        <v>8170</v>
      </c>
      <c r="G393" s="24" t="inlineStr">
        <is>
          <t>https://guiarsanrafael.com.ar/empresa/cruz-de-molina-cecilia-gabriela/</t>
        </is>
      </c>
    </row>
    <row r="394">
      <c r="A394" s="19" t="n">
        <v>393</v>
      </c>
      <c r="B394" s="20" t="inlineStr">
        <is>
          <t>Cruz Funes Elisa María</t>
        </is>
      </c>
      <c r="C394" s="14" t="inlineStr">
        <is>
          <t>Abogados abogadas estudios juridicos</t>
        </is>
      </c>
      <c r="D394" s="14" t="inlineStr">
        <is>
          <t>Abogadas</t>
        </is>
      </c>
      <c r="E394" s="19" t="n">
        <v>113</v>
      </c>
      <c r="F394" s="19" t="n">
        <v>7189</v>
      </c>
      <c r="G394" s="21" t="inlineStr">
        <is>
          <t>https://guiarsanrafael.com.ar/empresa/cruz-funes-elisa-maria/</t>
        </is>
      </c>
    </row>
    <row r="395">
      <c r="A395" s="22" t="n">
        <v>394</v>
      </c>
      <c r="B395" s="23" t="inlineStr">
        <is>
          <t>CUEVAS REFRIGERACION</t>
        </is>
      </c>
      <c r="C395" s="12" t="inlineStr">
        <is>
          <t>Aire acondicionado</t>
        </is>
      </c>
      <c r="D395" s="12" t="inlineStr">
        <is>
          <t>Aire acondicionado</t>
        </is>
      </c>
      <c r="E395" s="22" t="n">
        <v>171</v>
      </c>
      <c r="F395" s="22" t="n">
        <v>4345</v>
      </c>
      <c r="G395" s="24" t="inlineStr">
        <is>
          <t>https://guiarsanrafael.com.ar/empresa/cuevas-refrijeracion/</t>
        </is>
      </c>
    </row>
    <row r="396">
      <c r="A396" s="19" t="n">
        <v>395</v>
      </c>
      <c r="B396" s="20" t="inlineStr">
        <is>
          <t>CUIDARTE Salud y Bienestar</t>
        </is>
      </c>
      <c r="C396" s="14" t="inlineStr">
        <is>
          <t>Consultorios medicos</t>
        </is>
      </c>
      <c r="D396" s="14" t="inlineStr">
        <is>
          <t>Consultorios medicos</t>
        </is>
      </c>
      <c r="E396" s="19" t="n">
        <v>179</v>
      </c>
      <c r="F396" s="19" t="n">
        <v>3467</v>
      </c>
      <c r="G396" s="21" t="inlineStr">
        <is>
          <t>https://guiarsanrafael.com.ar/empresa/cuidarte-salud-y-bienestar/</t>
        </is>
      </c>
    </row>
    <row r="397">
      <c r="A397" s="22" t="n">
        <v>396</v>
      </c>
      <c r="B397" s="23" t="inlineStr">
        <is>
          <t>CUMBREIN Inversiones Inmobiliarias</t>
        </is>
      </c>
      <c r="C397" s="12" t="inlineStr">
        <is>
          <t>Inmobiliarias alquileres lotes corredor publico inmobiliario administraciones</t>
        </is>
      </c>
      <c r="D397" s="12" t="inlineStr">
        <is>
          <t>Administraciones</t>
        </is>
      </c>
      <c r="E397" s="22" t="n">
        <v>61</v>
      </c>
      <c r="F397" s="22" t="n">
        <v>8813</v>
      </c>
      <c r="G397" s="24" t="inlineStr">
        <is>
          <t>https://guiarsanrafael.com.ar/empresa/cumbrein-inversiones-inmobiliarias/</t>
        </is>
      </c>
    </row>
    <row r="398">
      <c r="A398" s="19" t="n">
        <v>397</v>
      </c>
      <c r="B398" s="20" t="inlineStr">
        <is>
          <t>CURCUMA Comida Sana &amp; Saludable</t>
        </is>
      </c>
      <c r="C398" s="14" t="inlineStr">
        <is>
          <t>Casa de comidas rotiseria viandas</t>
        </is>
      </c>
      <c r="D398" s="14" t="inlineStr">
        <is>
          <t>Casa de comidas</t>
        </is>
      </c>
      <c r="E398" s="19" t="n">
        <v>30</v>
      </c>
      <c r="F398" s="19" t="n">
        <v>11024</v>
      </c>
      <c r="G398" s="21" t="inlineStr">
        <is>
          <t>https://guiarsanrafael.com.ar/empresa/curcuma-comida-sana-saludable/</t>
        </is>
      </c>
    </row>
    <row r="399">
      <c r="A399" s="22" t="n">
        <v>398</v>
      </c>
      <c r="B399" s="23" t="inlineStr">
        <is>
          <t>CYCLES CARLY II</t>
        </is>
      </c>
      <c r="C399" s="12" t="inlineStr">
        <is>
          <t>Bicicleterias</t>
        </is>
      </c>
      <c r="D399" s="12" t="inlineStr">
        <is>
          <t>Bicicleterias</t>
        </is>
      </c>
      <c r="E399" s="22" t="n">
        <v>11</v>
      </c>
      <c r="F399" s="22" t="n">
        <v>13389</v>
      </c>
      <c r="G399" s="24" t="inlineStr">
        <is>
          <t>https://guiarsanrafael.com.ar/empresa/cycles-carly-ii/</t>
        </is>
      </c>
    </row>
    <row r="400">
      <c r="A400" s="19" t="n">
        <v>399</v>
      </c>
      <c r="B400" s="20" t="inlineStr">
        <is>
          <t>CYCLES CHARLY</t>
        </is>
      </c>
      <c r="C400" s="14" t="inlineStr">
        <is>
          <t>Bicicleterias</t>
        </is>
      </c>
      <c r="D400" s="14" t="inlineStr">
        <is>
          <t>Bicicleterias</t>
        </is>
      </c>
      <c r="E400" s="19" t="n">
        <v>11</v>
      </c>
      <c r="F400" s="19" t="n">
        <v>13388</v>
      </c>
      <c r="G400" s="21" t="inlineStr">
        <is>
          <t>https://guiarsanrafael.com.ar/empresa/cycles-charly/</t>
        </is>
      </c>
    </row>
    <row r="401">
      <c r="A401" s="22" t="n">
        <v>400</v>
      </c>
      <c r="B401" s="23" t="inlineStr">
        <is>
          <t>Cyntia Anabella Gil</t>
        </is>
      </c>
      <c r="C401" s="12" t="inlineStr">
        <is>
          <t>Ginecologia y obsterticia</t>
        </is>
      </c>
      <c r="D401" s="12" t="inlineStr">
        <is>
          <t>Ginecologia y obsterticia</t>
        </is>
      </c>
      <c r="E401" s="22" t="n">
        <v>155</v>
      </c>
      <c r="F401" s="22" t="n">
        <v>5337</v>
      </c>
      <c r="G401" s="24" t="inlineStr">
        <is>
          <t>https://guiarsanrafael.com.ar/empresa/cyntia-anabella-gil/</t>
        </is>
      </c>
    </row>
    <row r="402">
      <c r="A402" s="19" t="n">
        <v>401</v>
      </c>
      <c r="B402" s="20" t="inlineStr">
        <is>
          <t>Cáscara Colorada</t>
        </is>
      </c>
      <c r="C402" s="14" t="inlineStr">
        <is>
          <t>Fiambrerias</t>
        </is>
      </c>
      <c r="D402" s="14" t="inlineStr">
        <is>
          <t>Fiamfreria</t>
        </is>
      </c>
      <c r="E402" s="19" t="n">
        <v>52</v>
      </c>
      <c r="F402" s="19" t="n">
        <v>9300</v>
      </c>
      <c r="G402" s="21" t="inlineStr">
        <is>
          <t>https://guiarsanrafael.com.ar/empresa/cascara-colorada/</t>
        </is>
      </c>
    </row>
    <row r="403">
      <c r="A403" s="22" t="n">
        <v>402</v>
      </c>
      <c r="B403" s="23" t="inlineStr">
        <is>
          <t>DAFHNE Peluqueria &amp; Estetica</t>
        </is>
      </c>
      <c r="C403" s="12" t="inlineStr">
        <is>
          <t>Barberias peluqueria barberos</t>
        </is>
      </c>
      <c r="D403" s="12" t="inlineStr">
        <is>
          <t>Barberias</t>
        </is>
      </c>
      <c r="E403" s="22" t="n">
        <v>42</v>
      </c>
      <c r="F403" s="22" t="n">
        <v>9920</v>
      </c>
      <c r="G403" s="24" t="inlineStr">
        <is>
          <t>https://guiarsanrafael.com.ar/empresa/dafhne-peluqueria-estetica/</t>
        </is>
      </c>
    </row>
    <row r="404">
      <c r="A404" s="19" t="n">
        <v>403</v>
      </c>
      <c r="B404" s="20" t="inlineStr">
        <is>
          <t>DAIANA COBOS</t>
        </is>
      </c>
      <c r="C404" s="14" t="inlineStr">
        <is>
          <t>Odontologia</t>
        </is>
      </c>
      <c r="D404" s="14" t="inlineStr">
        <is>
          <t>Odontologia</t>
        </is>
      </c>
      <c r="E404" s="19" t="n">
        <v>77</v>
      </c>
      <c r="F404" s="19" t="n">
        <v>8344</v>
      </c>
      <c r="G404" s="21" t="inlineStr">
        <is>
          <t>https://guiarsanrafael.com.ar/empresa/daiana-cobos-2/</t>
        </is>
      </c>
    </row>
    <row r="405">
      <c r="A405" s="22" t="n">
        <v>404</v>
      </c>
      <c r="B405" s="23" t="inlineStr">
        <is>
          <t>Daiana Cobos</t>
        </is>
      </c>
      <c r="C405" s="12" t="inlineStr">
        <is>
          <t>Odontologia</t>
        </is>
      </c>
      <c r="D405" s="12" t="inlineStr">
        <is>
          <t>Odontologia</t>
        </is>
      </c>
      <c r="E405" s="22" t="n">
        <v>104</v>
      </c>
      <c r="F405" s="22" t="n">
        <v>7375</v>
      </c>
      <c r="G405" s="24" t="inlineStr">
        <is>
          <t>https://guiarsanrafael.com.ar/empresa/daiana-cobos/</t>
        </is>
      </c>
    </row>
    <row r="406">
      <c r="A406" s="19" t="n">
        <v>405</v>
      </c>
      <c r="B406" s="20" t="inlineStr">
        <is>
          <t>Dakar Motos</t>
        </is>
      </c>
      <c r="C406" s="14" t="inlineStr">
        <is>
          <t>Neumaticos gomerias</t>
        </is>
      </c>
      <c r="D406" s="14" t="inlineStr">
        <is>
          <t>Neumaticos gomas</t>
        </is>
      </c>
      <c r="E406" s="19" t="n">
        <v>72</v>
      </c>
      <c r="F406" s="19" t="n">
        <v>8451</v>
      </c>
      <c r="G406" s="21" t="inlineStr">
        <is>
          <t>https://guiarsanrafael.com.ar/empresa/dakar-motos/</t>
        </is>
      </c>
    </row>
    <row r="407">
      <c r="A407" s="22" t="n">
        <v>406</v>
      </c>
      <c r="B407" s="23" t="inlineStr">
        <is>
          <t>DANI Aberturas de Aluminio</t>
        </is>
      </c>
      <c r="C407" s="12" t="inlineStr">
        <is>
          <t>Aberturas</t>
        </is>
      </c>
      <c r="D407" s="12" t="inlineStr">
        <is>
          <t>Aberturas</t>
        </is>
      </c>
      <c r="E407" s="22" t="n">
        <v>126</v>
      </c>
      <c r="F407" s="22" t="n">
        <v>6604</v>
      </c>
      <c r="G407" s="24" t="inlineStr">
        <is>
          <t>https://guiarsanrafael.com.ar/empresa/dani-aberturas-de-aluminio/</t>
        </is>
      </c>
    </row>
    <row r="408">
      <c r="A408" s="19" t="n">
        <v>407</v>
      </c>
      <c r="B408" s="20" t="inlineStr">
        <is>
          <t>DANIEL CATANESE</t>
        </is>
      </c>
      <c r="C408" s="14" t="inlineStr">
        <is>
          <t>Kinesiologia y fisioterapia</t>
        </is>
      </c>
      <c r="D408" s="14" t="inlineStr">
        <is>
          <t>Kinesiologia y fisioterapia</t>
        </is>
      </c>
      <c r="E408" s="19" t="n">
        <v>133</v>
      </c>
      <c r="F408" s="19" t="n">
        <v>6098</v>
      </c>
      <c r="G408" s="21" t="inlineStr">
        <is>
          <t>https://guiarsanrafael.com.ar/empresa/daniel-catanese/</t>
        </is>
      </c>
    </row>
    <row r="409">
      <c r="A409" s="22" t="n">
        <v>408</v>
      </c>
      <c r="B409" s="23" t="inlineStr">
        <is>
          <t>DANIEL FÉLIX Del Sur Medicina Estética</t>
        </is>
      </c>
      <c r="C409" s="12" t="inlineStr">
        <is>
          <t>Centro de estetica</t>
        </is>
      </c>
      <c r="D409" s="12" t="inlineStr">
        <is>
          <t>Centro de estetica</t>
        </is>
      </c>
      <c r="E409" s="22" t="n">
        <v>105</v>
      </c>
      <c r="F409" s="22" t="n">
        <v>7345</v>
      </c>
      <c r="G409" s="24" t="inlineStr">
        <is>
          <t>https://guiarsanrafael.com.ar/empresa/daniel-felix-del-sur-medicina-estetica/</t>
        </is>
      </c>
    </row>
    <row r="410">
      <c r="A410" s="19" t="n">
        <v>409</v>
      </c>
      <c r="B410" s="20" t="inlineStr">
        <is>
          <t>Daniel Giorgini</t>
        </is>
      </c>
      <c r="C410" s="14" t="inlineStr">
        <is>
          <t>Clinica medica</t>
        </is>
      </c>
      <c r="D410" s="14" t="inlineStr">
        <is>
          <t>Clinica medica</t>
        </is>
      </c>
      <c r="E410" s="19" t="n">
        <v>158</v>
      </c>
      <c r="F410" s="19" t="n">
        <v>5292</v>
      </c>
      <c r="G410" s="21" t="inlineStr">
        <is>
          <t>https://guiarsanrafael.com.ar/empresa/daniel-giorgini/</t>
        </is>
      </c>
    </row>
    <row r="411">
      <c r="A411" s="22" t="n">
        <v>410</v>
      </c>
      <c r="B411" s="23" t="inlineStr">
        <is>
          <t>DANIELA DIAZ Osteopatia</t>
        </is>
      </c>
      <c r="C411" s="12" t="inlineStr">
        <is>
          <t>Centro de rehabilitacion</t>
        </is>
      </c>
      <c r="D411" s="12" t="inlineStr">
        <is>
          <t>Centro de rehabilitacion</t>
        </is>
      </c>
      <c r="E411" s="22" t="n">
        <v>5</v>
      </c>
      <c r="F411" s="22" t="n">
        <v>14497</v>
      </c>
      <c r="G411" s="24" t="inlineStr">
        <is>
          <t>https://guiarsanrafael.com.ar/empresa/daniela-diaz-osteopatia/</t>
        </is>
      </c>
    </row>
    <row r="412">
      <c r="A412" s="19" t="n">
        <v>411</v>
      </c>
      <c r="B412" s="20" t="inlineStr">
        <is>
          <t>DANIELA GRECO</t>
        </is>
      </c>
      <c r="C412" s="14" t="inlineStr">
        <is>
          <t>Dermatologia</t>
        </is>
      </c>
      <c r="D412" s="14" t="inlineStr">
        <is>
          <t>Dermatologia</t>
        </is>
      </c>
      <c r="E412" s="19" t="n">
        <v>120</v>
      </c>
      <c r="F412" s="19" t="n">
        <v>7055</v>
      </c>
      <c r="G412" s="21" t="inlineStr">
        <is>
          <t>https://guiarsanrafael.com.ar/empresa/daniela-greco/</t>
        </is>
      </c>
    </row>
    <row r="413">
      <c r="A413" s="22" t="n">
        <v>412</v>
      </c>
      <c r="B413" s="23" t="inlineStr">
        <is>
          <t>Daniela Peralta</t>
        </is>
      </c>
      <c r="C413" s="12" t="inlineStr">
        <is>
          <t>Psicologia</t>
        </is>
      </c>
      <c r="D413" s="12" t="inlineStr">
        <is>
          <t>Psicologia</t>
        </is>
      </c>
      <c r="E413" s="22" t="n">
        <v>144</v>
      </c>
      <c r="F413" s="22" t="n">
        <v>5512</v>
      </c>
      <c r="G413" s="24" t="inlineStr">
        <is>
          <t>https://guiarsanrafael.com.ar/empresa/daniela-peralta/</t>
        </is>
      </c>
    </row>
    <row r="414">
      <c r="A414" s="19" t="n">
        <v>413</v>
      </c>
      <c r="B414" s="20" t="inlineStr">
        <is>
          <t>Daniela Sanchez</t>
        </is>
      </c>
      <c r="C414" s="14" t="inlineStr">
        <is>
          <t>Ginecologia y obsterticia</t>
        </is>
      </c>
      <c r="D414" s="14" t="inlineStr">
        <is>
          <t>Ginecologia y obsterticia</t>
        </is>
      </c>
      <c r="E414" s="19" t="n">
        <v>154</v>
      </c>
      <c r="F414" s="19" t="n">
        <v>5345</v>
      </c>
      <c r="G414" s="21" t="inlineStr">
        <is>
          <t>https://guiarsanrafael.com.ar/empresa/daniela-sanchez/</t>
        </is>
      </c>
    </row>
    <row r="415">
      <c r="A415" s="22" t="n">
        <v>414</v>
      </c>
      <c r="B415" s="23" t="inlineStr">
        <is>
          <t>DAPARO María Cecilia</t>
        </is>
      </c>
      <c r="C415" s="12" t="inlineStr">
        <is>
          <t>Escribanias escribanos escribanas mandatario mandataria notarios notarias</t>
        </is>
      </c>
      <c r="D415" s="12" t="inlineStr">
        <is>
          <t>Escribanos</t>
        </is>
      </c>
      <c r="E415" s="22" t="n">
        <v>85</v>
      </c>
      <c r="F415" s="22" t="n">
        <v>8172</v>
      </c>
      <c r="G415" s="24" t="inlineStr">
        <is>
          <t>https://guiarsanrafael.com.ar/empresa/daparo-maria-cecilia/</t>
        </is>
      </c>
    </row>
    <row r="416">
      <c r="A416" s="19" t="n">
        <v>415</v>
      </c>
      <c r="B416" s="20" t="inlineStr">
        <is>
          <t>DARIO BIANCOTTI</t>
        </is>
      </c>
      <c r="C416" s="14" t="inlineStr">
        <is>
          <t>Cirugia estetica</t>
        </is>
      </c>
      <c r="D416" s="14" t="inlineStr">
        <is>
          <t>Cirujanos</t>
        </is>
      </c>
      <c r="E416" s="19" t="n">
        <v>161</v>
      </c>
      <c r="F416" s="19" t="n">
        <v>5267</v>
      </c>
      <c r="G416" s="21" t="inlineStr">
        <is>
          <t>https://guiarsanrafael.com.ar/empresa/dario-biancotti/</t>
        </is>
      </c>
    </row>
    <row r="417">
      <c r="A417" s="22" t="n">
        <v>416</v>
      </c>
      <c r="B417" s="23" t="inlineStr">
        <is>
          <t>DARIO FOKSZEK</t>
        </is>
      </c>
      <c r="C417" s="12" t="inlineStr">
        <is>
          <t>Contadores estudios contables</t>
        </is>
      </c>
      <c r="D417" s="12" t="inlineStr">
        <is>
          <t>Contadores</t>
        </is>
      </c>
      <c r="E417" s="22" t="n">
        <v>29</v>
      </c>
      <c r="F417" s="22" t="n">
        <v>11254</v>
      </c>
      <c r="G417" s="24" t="inlineStr">
        <is>
          <t>https://guiarsanrafael.com.ar/empresa/dario-fokszek/</t>
        </is>
      </c>
    </row>
    <row r="418">
      <c r="A418" s="19" t="n">
        <v>417</v>
      </c>
      <c r="B418" s="20" t="inlineStr">
        <is>
          <t>DAVID VITOLA</t>
        </is>
      </c>
      <c r="C418" s="14" t="inlineStr">
        <is>
          <t>Cirujia cirujano</t>
        </is>
      </c>
      <c r="D418" s="14" t="inlineStr">
        <is>
          <t>Cirugia general</t>
        </is>
      </c>
      <c r="E418" s="19" t="n">
        <v>35</v>
      </c>
      <c r="F418" s="19" t="n">
        <v>10434</v>
      </c>
      <c r="G418" s="21" t="inlineStr">
        <is>
          <t>https://guiarsanrafael.com.ar/empresa/david-vitola/</t>
        </is>
      </c>
    </row>
    <row r="419">
      <c r="A419" s="22" t="n">
        <v>418</v>
      </c>
      <c r="B419" s="23" t="inlineStr">
        <is>
          <t>DAYRA RODADOS</t>
        </is>
      </c>
      <c r="C419" s="12" t="inlineStr">
        <is>
          <t>Bicicleterias</t>
        </is>
      </c>
      <c r="D419" s="12" t="inlineStr">
        <is>
          <t>Bicicleterias</t>
        </is>
      </c>
      <c r="E419" s="22" t="n">
        <v>162</v>
      </c>
      <c r="F419" s="22" t="n">
        <v>5167</v>
      </c>
      <c r="G419" s="24" t="inlineStr">
        <is>
          <t>https://guiarsanrafael.com.ar/empresa/dayra-rodados/</t>
        </is>
      </c>
    </row>
    <row r="420">
      <c r="A420" s="19" t="n">
        <v>419</v>
      </c>
      <c r="B420" s="20" t="inlineStr">
        <is>
          <t>DAYTONA Garage</t>
        </is>
      </c>
      <c r="C420" s="14" t="inlineStr">
        <is>
          <t>Estetica vehicular tuning</t>
        </is>
      </c>
      <c r="D420" s="14" t="inlineStr">
        <is>
          <t>Estetica vehicular</t>
        </is>
      </c>
      <c r="E420" s="19" t="n">
        <v>123</v>
      </c>
      <c r="F420" s="19" t="n">
        <v>6852</v>
      </c>
      <c r="G420" s="21" t="inlineStr">
        <is>
          <t>https://guiarsanrafael.com.ar/empresa/daytona-garage/</t>
        </is>
      </c>
    </row>
    <row r="421">
      <c r="A421" s="22" t="n">
        <v>420</v>
      </c>
      <c r="B421" s="23" t="inlineStr">
        <is>
          <t>DE CAMPO CARNES</t>
        </is>
      </c>
      <c r="C421" s="12" t="inlineStr">
        <is>
          <t>Almacen minimarket</t>
        </is>
      </c>
      <c r="D421" s="12" t="inlineStr">
        <is>
          <t>Carniceria</t>
        </is>
      </c>
      <c r="E421" s="22" t="n">
        <v>2</v>
      </c>
      <c r="F421" s="22" t="n">
        <v>14938</v>
      </c>
      <c r="G421" s="24" t="inlineStr">
        <is>
          <t>https://guiarsanrafael.com.ar/empresa/de-campo-carnes/</t>
        </is>
      </c>
    </row>
    <row r="422">
      <c r="A422" s="19" t="n">
        <v>421</v>
      </c>
      <c r="B422" s="20" t="inlineStr">
        <is>
          <t>DE MARTOS Ferretería Industrial</t>
        </is>
      </c>
      <c r="C422" s="14" t="inlineStr">
        <is>
          <t>Ferreteria industrial</t>
        </is>
      </c>
      <c r="D422" s="14" t="inlineStr">
        <is>
          <t>Ferreteria industrial</t>
        </is>
      </c>
      <c r="E422" s="19" t="n">
        <v>88</v>
      </c>
      <c r="F422" s="19" t="n">
        <v>7994</v>
      </c>
      <c r="G422" s="21" t="inlineStr">
        <is>
          <t>https://guiarsanrafael.com.ar/empresa/de-martos-ferreteria-industrial/</t>
        </is>
      </c>
    </row>
    <row r="423">
      <c r="A423" s="22" t="n">
        <v>422</v>
      </c>
      <c r="B423" s="23" t="inlineStr">
        <is>
          <t>DE NEVREZÉ y ASOCIADOS</t>
        </is>
      </c>
      <c r="C423" s="12" t="inlineStr">
        <is>
          <t>Contadores estudios contables</t>
        </is>
      </c>
      <c r="D423" s="12" t="inlineStr">
        <is>
          <t>Contadores</t>
        </is>
      </c>
      <c r="E423" s="22" t="n">
        <v>138</v>
      </c>
      <c r="F423" s="22" t="n">
        <v>5754</v>
      </c>
      <c r="G423" s="24" t="inlineStr">
        <is>
          <t>https://guiarsanrafael.com.ar/empresa/de-nevreze-y-asociados/</t>
        </is>
      </c>
    </row>
    <row r="424">
      <c r="A424" s="19" t="n">
        <v>423</v>
      </c>
      <c r="B424" s="20" t="inlineStr">
        <is>
          <t>De Nuestra Tierra</t>
        </is>
      </c>
      <c r="C424" s="14" t="inlineStr">
        <is>
          <t>Regionales regaleria</t>
        </is>
      </c>
      <c r="D424" s="14" t="inlineStr">
        <is>
          <t>Artesanias</t>
        </is>
      </c>
      <c r="E424" s="19" t="n">
        <v>53</v>
      </c>
      <c r="F424" s="19" t="n">
        <v>9268</v>
      </c>
      <c r="G424" s="21" t="inlineStr">
        <is>
          <t>https://guiarsanrafael.com.ar/empresa/de-nuestra-tierra/</t>
        </is>
      </c>
    </row>
    <row r="425">
      <c r="A425" s="22" t="n">
        <v>424</v>
      </c>
      <c r="B425" s="23" t="inlineStr">
        <is>
          <t>De Syrah Restaurante</t>
        </is>
      </c>
      <c r="C425" s="12" t="inlineStr">
        <is>
          <t>Restaurantes parrilas</t>
        </is>
      </c>
      <c r="D425" s="12" t="inlineStr">
        <is>
          <t>Restaurantes</t>
        </is>
      </c>
      <c r="E425" s="22" t="n">
        <v>38</v>
      </c>
      <c r="F425" s="22" t="n">
        <v>10230</v>
      </c>
      <c r="G425" s="24" t="inlineStr">
        <is>
          <t>https://guiarsanrafael.com.ar/empresa/de-syrah-restaurante/</t>
        </is>
      </c>
    </row>
    <row r="426">
      <c r="A426" s="19" t="n">
        <v>425</v>
      </c>
      <c r="B426" s="20" t="inlineStr">
        <is>
          <t>DECAR Dirección Hidráulica</t>
        </is>
      </c>
      <c r="C426" s="14" t="inlineStr">
        <is>
          <t>Direccion hidraulica</t>
        </is>
      </c>
      <c r="D426" s="14" t="inlineStr">
        <is>
          <t>Direccion hidraulica</t>
        </is>
      </c>
      <c r="E426" s="19" t="n">
        <v>30</v>
      </c>
      <c r="F426" s="19" t="n">
        <v>11114</v>
      </c>
      <c r="G426" s="21" t="inlineStr">
        <is>
          <t>https://guiarsanrafael.com.ar/empresa/decar-direccion-hidraulica/</t>
        </is>
      </c>
    </row>
    <row r="427">
      <c r="A427" s="22" t="n">
        <v>426</v>
      </c>
      <c r="B427" s="23" t="inlineStr">
        <is>
          <t>Del Centro Pinturerías</t>
        </is>
      </c>
      <c r="C427" s="12" t="inlineStr">
        <is>
          <t>Pinturerias impermeabilizantes</t>
        </is>
      </c>
      <c r="D427" s="12" t="inlineStr">
        <is>
          <t>Pinturerias</t>
        </is>
      </c>
      <c r="E427" s="22" t="n">
        <v>58</v>
      </c>
      <c r="F427" s="22" t="n">
        <v>9017</v>
      </c>
      <c r="G427" s="24" t="inlineStr">
        <is>
          <t>https://guiarsanrafael.com.ar/empresa/del-centro-pinturerias/</t>
        </is>
      </c>
    </row>
    <row r="428">
      <c r="A428" s="19" t="n">
        <v>427</v>
      </c>
      <c r="B428" s="20" t="inlineStr">
        <is>
          <t>DEL CIELO Artículos de Limpieza</t>
        </is>
      </c>
      <c r="C428" s="14" t="inlineStr">
        <is>
          <t>Articulos de limpieza todo suelto</t>
        </is>
      </c>
      <c r="D428" s="14" t="inlineStr">
        <is>
          <t>Articulos de limpieza</t>
        </is>
      </c>
      <c r="E428" s="19" t="n">
        <v>41</v>
      </c>
      <c r="F428" s="19" t="n">
        <v>9965</v>
      </c>
      <c r="G428" s="21" t="inlineStr">
        <is>
          <t>https://guiarsanrafael.com.ar/empresa/del-cielo-articulos-de-limpieza/</t>
        </is>
      </c>
    </row>
    <row r="429">
      <c r="A429" s="22" t="n">
        <v>428</v>
      </c>
      <c r="B429" s="23" t="inlineStr">
        <is>
          <t>Del Pozzi	María de Guadalupe</t>
        </is>
      </c>
      <c r="C429" s="12" t="inlineStr">
        <is>
          <t>Abogados abogadas estudios juridicos</t>
        </is>
      </c>
      <c r="D429" s="12" t="inlineStr">
        <is>
          <t>Abogadas</t>
        </is>
      </c>
      <c r="E429" s="22" t="n">
        <v>115</v>
      </c>
      <c r="F429" s="22" t="n">
        <v>7160</v>
      </c>
      <c r="G429" s="24" t="inlineStr">
        <is>
          <t>https://guiarsanrafael.com.ar/empresa/del-pozzimaria-de-guadalupe/</t>
        </is>
      </c>
    </row>
    <row r="430">
      <c r="A430" s="19" t="n">
        <v>429</v>
      </c>
      <c r="B430" s="20" t="inlineStr">
        <is>
          <t>DEL TELAR RETASERIA</t>
        </is>
      </c>
      <c r="C430" s="14" t="inlineStr">
        <is>
          <t>Blanco colchones sabanas tuallones</t>
        </is>
      </c>
      <c r="D430" s="14" t="inlineStr">
        <is>
          <t>Blanco</t>
        </is>
      </c>
      <c r="E430" s="19" t="n">
        <v>23</v>
      </c>
      <c r="F430" s="19" t="n">
        <v>11925</v>
      </c>
      <c r="G430" s="21" t="inlineStr">
        <is>
          <t>https://guiarsanrafael.com.ar/empresa/del-telar-retaseria/</t>
        </is>
      </c>
    </row>
    <row r="431">
      <c r="A431" s="22" t="n">
        <v>430</v>
      </c>
      <c r="B431" s="23" t="inlineStr">
        <is>
          <t>DEL TELAR Retasería</t>
        </is>
      </c>
      <c r="C431" s="12" t="inlineStr">
        <is>
          <t>Mercerias</t>
        </is>
      </c>
      <c r="D431" s="12" t="inlineStr">
        <is>
          <t>Mercerias</t>
        </is>
      </c>
      <c r="E431" s="22" t="n">
        <v>18</v>
      </c>
      <c r="F431" s="22" t="n">
        <v>12456</v>
      </c>
      <c r="G431" s="24" t="inlineStr">
        <is>
          <t>https://guiarsanrafael.com.ar/empresa/del-telar-retaseria-2/</t>
        </is>
      </c>
    </row>
    <row r="432">
      <c r="A432" s="19" t="n">
        <v>431</v>
      </c>
      <c r="B432" s="20" t="inlineStr">
        <is>
          <t>DEL VALLE 🔆 Blanqueria &amp; Cortinados</t>
        </is>
      </c>
      <c r="C432" s="14" t="inlineStr">
        <is>
          <t>Blanco colchones sabanas tuallones</t>
        </is>
      </c>
      <c r="D432" s="14" t="inlineStr">
        <is>
          <t>Blanco</t>
        </is>
      </c>
      <c r="E432" s="19" t="n">
        <v>33</v>
      </c>
      <c r="F432" s="19" t="n">
        <v>10651</v>
      </c>
      <c r="G432" s="21" t="inlineStr">
        <is>
          <t>https://guiarsanrafael.com.ar/empresa/del-valle-blanqueria-cortinados/</t>
        </is>
      </c>
    </row>
    <row r="433">
      <c r="A433" s="22" t="n">
        <v>432</v>
      </c>
      <c r="B433" s="23" t="inlineStr">
        <is>
          <t>DELFIN Indumentaria</t>
        </is>
      </c>
      <c r="C433" s="12" t="inlineStr">
        <is>
          <t>Indumentaria</t>
        </is>
      </c>
      <c r="D433" s="12" t="inlineStr">
        <is>
          <t>Indumentaria</t>
        </is>
      </c>
      <c r="E433" s="22" t="n">
        <v>21</v>
      </c>
      <c r="F433" s="22" t="n">
        <v>12148</v>
      </c>
      <c r="G433" s="24" t="inlineStr">
        <is>
          <t>https://guiarsanrafael.com.ar/empresa/delfin-indumentaria/</t>
        </is>
      </c>
    </row>
    <row r="434">
      <c r="A434" s="19" t="n">
        <v>433</v>
      </c>
      <c r="B434" s="20" t="inlineStr">
        <is>
          <t>DELICIAS SALUDABLES</t>
        </is>
      </c>
      <c r="C434" s="14" t="inlineStr">
        <is>
          <t>Panaderias</t>
        </is>
      </c>
      <c r="D434" s="14" t="inlineStr">
        <is>
          <t>Panaderia</t>
        </is>
      </c>
      <c r="E434" s="19" t="n">
        <v>50</v>
      </c>
      <c r="F434" s="19" t="n">
        <v>9332</v>
      </c>
      <c r="G434" s="21" t="inlineStr">
        <is>
          <t>https://guiarsanrafael.com.ar/empresa/delicias-saludables/</t>
        </is>
      </c>
    </row>
    <row r="435">
      <c r="A435" s="22" t="n">
        <v>434</v>
      </c>
      <c r="B435" s="23" t="inlineStr">
        <is>
          <t>Denise Chambard</t>
        </is>
      </c>
      <c r="C435" s="12" t="inlineStr">
        <is>
          <t>Kinesiologia y fisioterapia</t>
        </is>
      </c>
      <c r="D435" s="12" t="inlineStr">
        <is>
          <t>Kinesiologia y fisioterapia</t>
        </is>
      </c>
      <c r="E435" s="22" t="n">
        <v>153</v>
      </c>
      <c r="F435" s="22" t="n">
        <v>5381</v>
      </c>
      <c r="G435" s="24" t="inlineStr">
        <is>
          <t>https://guiarsanrafael.com.ar/empresa/denise-chambard/</t>
        </is>
      </c>
    </row>
    <row r="436">
      <c r="A436" s="19" t="n">
        <v>435</v>
      </c>
      <c r="B436" s="20" t="inlineStr">
        <is>
          <t>DENISE LANA</t>
        </is>
      </c>
      <c r="C436" s="14" t="inlineStr">
        <is>
          <t>Administraciones alquileres inmobiliarias</t>
        </is>
      </c>
      <c r="D436" s="14" t="inlineStr">
        <is>
          <t>Administraciones</t>
        </is>
      </c>
      <c r="E436" s="19" t="n">
        <v>132</v>
      </c>
      <c r="F436" s="19" t="n">
        <v>6194</v>
      </c>
      <c r="G436" s="21" t="inlineStr">
        <is>
          <t>https://guiarsanrafael.com.ar/empresa/denise-lana/</t>
        </is>
      </c>
    </row>
    <row r="437">
      <c r="A437" s="22" t="n">
        <v>436</v>
      </c>
      <c r="B437" s="23" t="inlineStr">
        <is>
          <t>DENITA MADERAS SRL</t>
        </is>
      </c>
      <c r="C437" s="12" t="inlineStr">
        <is>
          <t>Aberturas</t>
        </is>
      </c>
      <c r="D437" s="12" t="inlineStr">
        <is>
          <t>Aserraderos</t>
        </is>
      </c>
      <c r="E437" s="22" t="n">
        <v>35</v>
      </c>
      <c r="F437" s="22" t="n">
        <v>10415</v>
      </c>
      <c r="G437" s="24" t="inlineStr">
        <is>
          <t>https://guiarsanrafael.com.ar/empresa/denita-maderas-srl/</t>
        </is>
      </c>
    </row>
    <row r="438">
      <c r="A438" s="19" t="n">
        <v>437</v>
      </c>
      <c r="B438" s="20" t="inlineStr">
        <is>
          <t>Departamentos Alsina</t>
        </is>
      </c>
      <c r="C438" s="14" t="inlineStr">
        <is>
          <t>Departamentos turisticos alquiler</t>
        </is>
      </c>
      <c r="D438" s="14" t="inlineStr">
        <is>
          <t>Departamentos turisticos</t>
        </is>
      </c>
      <c r="E438" s="19" t="n">
        <v>60</v>
      </c>
      <c r="F438" s="19" t="n">
        <v>8877</v>
      </c>
      <c r="G438" s="21" t="inlineStr">
        <is>
          <t>https://guiarsanrafael.com.ar/empresa/departamentos-alsina/</t>
        </is>
      </c>
    </row>
    <row r="439">
      <c r="A439" s="22" t="n">
        <v>438</v>
      </c>
      <c r="B439" s="23" t="inlineStr">
        <is>
          <t>DERMA ESTETICA</t>
        </is>
      </c>
      <c r="C439" s="12" t="inlineStr">
        <is>
          <t>Centro de estetica</t>
        </is>
      </c>
      <c r="D439" s="12" t="inlineStr">
        <is>
          <t>Centro de estetica</t>
        </is>
      </c>
      <c r="E439" s="22" t="n">
        <v>35</v>
      </c>
      <c r="F439" s="22" t="n">
        <v>10322</v>
      </c>
      <c r="G439" s="24" t="inlineStr">
        <is>
          <t>https://guiarsanrafael.com.ar/empresa/derma-estetica/</t>
        </is>
      </c>
    </row>
    <row r="440">
      <c r="A440" s="19" t="n">
        <v>439</v>
      </c>
      <c r="B440" s="20" t="inlineStr">
        <is>
          <t>DESAGOTES YA</t>
        </is>
      </c>
      <c r="C440" s="14" t="inlineStr">
        <is>
          <t>Atmosfericos desagotes pozos septicos perforaciones</t>
        </is>
      </c>
      <c r="D440" s="14" t="inlineStr">
        <is>
          <t>Atmosfericos</t>
        </is>
      </c>
      <c r="E440" s="19" t="n">
        <v>163</v>
      </c>
      <c r="F440" s="19" t="n">
        <v>5075</v>
      </c>
      <c r="G440" s="21" t="inlineStr">
        <is>
          <t>https://guiarsanrafael.com.ar/empresa/desagotes-ya/</t>
        </is>
      </c>
    </row>
    <row r="441">
      <c r="A441" s="22" t="n">
        <v>440</v>
      </c>
      <c r="B441" s="23" t="inlineStr">
        <is>
          <t>DESILVESTRE Emmanuel Fernando</t>
        </is>
      </c>
      <c r="C441" s="12" t="inlineStr">
        <is>
          <t>Escribanias escribanos escribanas mandatario mandataria notarios notarias</t>
        </is>
      </c>
      <c r="D441" s="12" t="inlineStr">
        <is>
          <t>Escribanas</t>
        </is>
      </c>
      <c r="E441" s="22" t="n">
        <v>85</v>
      </c>
      <c r="F441" s="22" t="n">
        <v>8173</v>
      </c>
      <c r="G441" s="24" t="inlineStr">
        <is>
          <t>https://guiarsanrafael.com.ar/empresa/desilvestre-emmanuel-fernando/</t>
        </is>
      </c>
    </row>
    <row r="442">
      <c r="A442" s="19" t="n">
        <v>441</v>
      </c>
      <c r="B442" s="20" t="inlineStr">
        <is>
          <t>DESING ALUM</t>
        </is>
      </c>
      <c r="C442" s="14" t="inlineStr">
        <is>
          <t>Aberturas</t>
        </is>
      </c>
      <c r="D442" s="14" t="inlineStr">
        <is>
          <t>Aberturas</t>
        </is>
      </c>
      <c r="E442" s="19" t="n">
        <v>32</v>
      </c>
      <c r="F442" s="19" t="n">
        <v>10741</v>
      </c>
      <c r="G442" s="21" t="inlineStr">
        <is>
          <t>https://guiarsanrafael.com.ar/empresa/desing-alum/</t>
        </is>
      </c>
    </row>
    <row r="443">
      <c r="A443" s="22" t="n">
        <v>442</v>
      </c>
      <c r="B443" s="23" t="inlineStr">
        <is>
          <t>DESTILERIA CUYO</t>
        </is>
      </c>
      <c r="C443" s="12" t="inlineStr">
        <is>
          <t>Articulos de limpieza todo suelto</t>
        </is>
      </c>
      <c r="D443" s="12" t="inlineStr">
        <is>
          <t>Articulos de limpieza</t>
        </is>
      </c>
      <c r="E443" s="22" t="n">
        <v>67</v>
      </c>
      <c r="F443" s="22" t="n">
        <v>8530</v>
      </c>
      <c r="G443" s="24" t="inlineStr">
        <is>
          <t>https://guiarsanrafael.com.ar/empresa/destileria-cuyo/</t>
        </is>
      </c>
    </row>
    <row r="444">
      <c r="A444" s="19" t="n">
        <v>443</v>
      </c>
      <c r="B444" s="20" t="inlineStr">
        <is>
          <t>DETALLES  Levanta Cristales</t>
        </is>
      </c>
      <c r="C444" s="14" t="inlineStr">
        <is>
          <t>Alarmas</t>
        </is>
      </c>
      <c r="D444" s="14" t="inlineStr">
        <is>
          <t>Accesorios del automotor</t>
        </is>
      </c>
      <c r="E444" s="19" t="n">
        <v>123</v>
      </c>
      <c r="F444" s="19" t="n">
        <v>6832</v>
      </c>
      <c r="G444" s="21" t="inlineStr">
        <is>
          <t>https://guiarsanrafael.com.ar/empresa/detalles-levanta-cristales/</t>
        </is>
      </c>
    </row>
    <row r="445">
      <c r="A445" s="22" t="n">
        <v>444</v>
      </c>
      <c r="B445" s="23" t="inlineStr">
        <is>
          <t>Di Marco Pellegrini	Pablo Iván</t>
        </is>
      </c>
      <c r="C445" s="12" t="inlineStr">
        <is>
          <t>Abogados abogadas estudios juridicos</t>
        </is>
      </c>
      <c r="D445" s="12" t="inlineStr">
        <is>
          <t>Abogados</t>
        </is>
      </c>
      <c r="E445" s="22" t="n">
        <v>113</v>
      </c>
      <c r="F445" s="22" t="n">
        <v>7188</v>
      </c>
      <c r="G445" s="24" t="inlineStr">
        <is>
          <t>https://guiarsanrafael.com.ar/empresa/di-marco-pellegrinipablo-ivan/</t>
        </is>
      </c>
    </row>
    <row r="446">
      <c r="A446" s="19" t="n">
        <v>445</v>
      </c>
      <c r="B446" s="20" t="inlineStr">
        <is>
          <t>DI PIETRO PAOLA</t>
        </is>
      </c>
      <c r="C446" s="14" t="inlineStr">
        <is>
          <t>Implantes</t>
        </is>
      </c>
      <c r="D446" s="14" t="inlineStr">
        <is>
          <t>Implantes</t>
        </is>
      </c>
      <c r="E446" s="19" t="n">
        <v>126</v>
      </c>
      <c r="F446" s="19" t="n">
        <v>6638</v>
      </c>
      <c r="G446" s="21" t="inlineStr">
        <is>
          <t>https://guiarsanrafael.com.ar/empresa/di-pietro-paola/</t>
        </is>
      </c>
    </row>
    <row r="447">
      <c r="A447" s="22" t="n">
        <v>446</v>
      </c>
      <c r="B447" s="23" t="inlineStr">
        <is>
          <t>DIAGNOSTICAR Taller Mecánico</t>
        </is>
      </c>
      <c r="C447" s="12" t="inlineStr">
        <is>
          <t>Mecanica del automotor automotriz</t>
        </is>
      </c>
      <c r="D447" s="12" t="inlineStr">
        <is>
          <t>Mecanica del automotor</t>
        </is>
      </c>
      <c r="E447" s="22" t="n">
        <v>69</v>
      </c>
      <c r="F447" s="22" t="n">
        <v>8486</v>
      </c>
      <c r="G447" s="24" t="inlineStr">
        <is>
          <t>https://guiarsanrafael.com.ar/empresa/diagnosticar-taller-mecanico/</t>
        </is>
      </c>
    </row>
    <row r="448">
      <c r="A448" s="19" t="n">
        <v>447</v>
      </c>
      <c r="B448" s="20" t="inlineStr">
        <is>
          <t>Diamante Viajes</t>
        </is>
      </c>
      <c r="C448" s="14" t="inlineStr">
        <is>
          <t>Agencia de viajes</t>
        </is>
      </c>
      <c r="D448" s="14" t="inlineStr">
        <is>
          <t>Agencias de viajes</t>
        </is>
      </c>
      <c r="E448" s="19" t="n">
        <v>93</v>
      </c>
      <c r="F448" s="19" t="n">
        <v>7817</v>
      </c>
      <c r="G448" s="21" t="inlineStr">
        <is>
          <t>https://guiarsanrafael.com.ar/empresa/diamante-viajes/</t>
        </is>
      </c>
    </row>
    <row r="449">
      <c r="A449" s="22" t="n">
        <v>448</v>
      </c>
      <c r="B449" s="23" t="inlineStr">
        <is>
          <t>DIANA SOSA</t>
        </is>
      </c>
      <c r="C449" s="12" t="inlineStr">
        <is>
          <t>Cirugia infantil cirujano cirujana</t>
        </is>
      </c>
      <c r="D449" s="12" t="inlineStr">
        <is>
          <t>Cirugia infantil</t>
        </is>
      </c>
      <c r="E449" s="22" t="n">
        <v>161</v>
      </c>
      <c r="F449" s="22" t="n">
        <v>5259</v>
      </c>
      <c r="G449" s="24" t="inlineStr">
        <is>
          <t>https://guiarsanrafael.com.ar/empresa/diana-sosa/</t>
        </is>
      </c>
    </row>
    <row r="450">
      <c r="A450" s="19" t="n">
        <v>449</v>
      </c>
      <c r="B450" s="20" t="inlineStr">
        <is>
          <t>Diaz	Diego Luciano</t>
        </is>
      </c>
      <c r="C450" s="14" t="inlineStr">
        <is>
          <t>Abogados abogadas estudios juridicos</t>
        </is>
      </c>
      <c r="D450" s="14" t="inlineStr">
        <is>
          <t>Abogados</t>
        </is>
      </c>
      <c r="E450" s="19" t="n">
        <v>113</v>
      </c>
      <c r="F450" s="19" t="n">
        <v>7183</v>
      </c>
      <c r="G450" s="21" t="inlineStr">
        <is>
          <t>https://guiarsanrafael.com.ar/empresa/diazdiego-luciano/</t>
        </is>
      </c>
    </row>
    <row r="451">
      <c r="A451" s="22" t="n">
        <v>450</v>
      </c>
      <c r="B451" s="23" t="inlineStr">
        <is>
          <t>DIDIER DI CESARE</t>
        </is>
      </c>
      <c r="C451" s="12" t="inlineStr">
        <is>
          <t>Veterinarios</t>
        </is>
      </c>
      <c r="D451" s="12" t="inlineStr">
        <is>
          <t>Veterinarios</t>
        </is>
      </c>
      <c r="E451" s="22" t="n">
        <v>130</v>
      </c>
      <c r="F451" s="22" t="n">
        <v>6344</v>
      </c>
      <c r="G451" s="24" t="inlineStr">
        <is>
          <t>https://guiarsanrafael.com.ar/empresa/didier-di-cesare/</t>
        </is>
      </c>
    </row>
    <row r="452">
      <c r="A452" s="19" t="n">
        <v>451</v>
      </c>
      <c r="B452" s="20" t="inlineStr">
        <is>
          <t>DIEGO AQUILES AIMONE</t>
        </is>
      </c>
      <c r="C452" s="14" t="inlineStr">
        <is>
          <t>Odontologia</t>
        </is>
      </c>
      <c r="D452" s="14" t="inlineStr">
        <is>
          <t>Instituto odontologicos</t>
        </is>
      </c>
      <c r="E452" s="19" t="n">
        <v>122</v>
      </c>
      <c r="F452" s="19" t="n">
        <v>6966</v>
      </c>
      <c r="G452" s="21" t="inlineStr">
        <is>
          <t>https://guiarsanrafael.com.ar/empresa/diego-aquiles-aimone/</t>
        </is>
      </c>
    </row>
    <row r="453">
      <c r="A453" s="22" t="n">
        <v>452</v>
      </c>
      <c r="B453" s="23" t="inlineStr">
        <is>
          <t>DIEGO BURNET</t>
        </is>
      </c>
      <c r="C453" s="12" t="inlineStr">
        <is>
          <t>Kinesiologia y fisioterapia</t>
        </is>
      </c>
      <c r="D453" s="12" t="inlineStr">
        <is>
          <t>Centro de rehabilitacion</t>
        </is>
      </c>
      <c r="E453" s="22" t="n">
        <v>98</v>
      </c>
      <c r="F453" s="22" t="n">
        <v>7535</v>
      </c>
      <c r="G453" s="24" t="inlineStr">
        <is>
          <t>https://guiarsanrafael.com.ar/empresa/diego-burnet/</t>
        </is>
      </c>
    </row>
    <row r="454">
      <c r="A454" s="19" t="n">
        <v>453</v>
      </c>
      <c r="B454" s="20" t="inlineStr">
        <is>
          <t>DIEGO CARMONA</t>
        </is>
      </c>
      <c r="C454" s="14" t="inlineStr">
        <is>
          <t>Abogados abogadas estudios juridicos</t>
        </is>
      </c>
      <c r="D454" s="14" t="inlineStr">
        <is>
          <t>Abogados</t>
        </is>
      </c>
      <c r="E454" s="19" t="n">
        <v>4</v>
      </c>
      <c r="F454" s="19" t="n">
        <v>14621</v>
      </c>
      <c r="G454" s="21" t="inlineStr">
        <is>
          <t>https://guiarsanrafael.com.ar/empresa/giego-carmona/</t>
        </is>
      </c>
    </row>
    <row r="455">
      <c r="A455" s="22" t="n">
        <v>454</v>
      </c>
      <c r="B455" s="23" t="inlineStr">
        <is>
          <t>Diego Hernández</t>
        </is>
      </c>
      <c r="C455" s="12" t="inlineStr">
        <is>
          <t>Odontologia</t>
        </is>
      </c>
      <c r="D455" s="12" t="inlineStr">
        <is>
          <t>Odontologia</t>
        </is>
      </c>
      <c r="E455" s="22" t="n">
        <v>103</v>
      </c>
      <c r="F455" s="22" t="n">
        <v>7385</v>
      </c>
      <c r="G455" s="24" t="inlineStr">
        <is>
          <t>https://guiarsanrafael.com.ar/empresa/diego-hernandez/</t>
        </is>
      </c>
    </row>
    <row r="456">
      <c r="A456" s="19" t="n">
        <v>455</v>
      </c>
      <c r="B456" s="20" t="inlineStr">
        <is>
          <t>DIEGO MARTIN MIRAS</t>
        </is>
      </c>
      <c r="C456" s="14" t="inlineStr">
        <is>
          <t>Implantes</t>
        </is>
      </c>
      <c r="D456" s="14" t="inlineStr">
        <is>
          <t>Implantes</t>
        </is>
      </c>
      <c r="E456" s="19" t="n">
        <v>133</v>
      </c>
      <c r="F456" s="19" t="n">
        <v>6139</v>
      </c>
      <c r="G456" s="21" t="inlineStr">
        <is>
          <t>https://guiarsanrafael.com.ar/empresa/diego-martin-miras/</t>
        </is>
      </c>
    </row>
    <row r="457">
      <c r="A457" s="22" t="n">
        <v>456</v>
      </c>
      <c r="B457" s="23" t="inlineStr">
        <is>
          <t>DIEGO MARTIN SOSA</t>
        </is>
      </c>
      <c r="C457" s="12" t="inlineStr">
        <is>
          <t>Otorrinolaringologia nariz garganta oido</t>
        </is>
      </c>
      <c r="D457" s="12" t="inlineStr">
        <is>
          <t>Nariz garganta y oido</t>
        </is>
      </c>
      <c r="E457" s="22" t="n">
        <v>147</v>
      </c>
      <c r="F457" s="22" t="n">
        <v>5463</v>
      </c>
      <c r="G457" s="24" t="inlineStr">
        <is>
          <t>https://guiarsanrafael.com.ar/empresa/diego-martin-sosa/</t>
        </is>
      </c>
    </row>
    <row r="458">
      <c r="A458" s="19" t="n">
        <v>457</v>
      </c>
      <c r="B458" s="20" t="inlineStr">
        <is>
          <t>DIEGO MOTOS</t>
        </is>
      </c>
      <c r="C458" s="14" t="inlineStr">
        <is>
          <t>Electricidad de motos</t>
        </is>
      </c>
      <c r="D458" s="14" t="inlineStr">
        <is>
          <t>Mecanica de motos</t>
        </is>
      </c>
      <c r="E458" s="19" t="n">
        <v>24</v>
      </c>
      <c r="F458" s="19" t="n">
        <v>11801</v>
      </c>
      <c r="G458" s="21" t="inlineStr">
        <is>
          <t>https://guiarsanrafael.com.ar/empresa/diego-motos/</t>
        </is>
      </c>
    </row>
    <row r="459">
      <c r="A459" s="22" t="n">
        <v>458</v>
      </c>
      <c r="B459" s="23" t="inlineStr">
        <is>
          <t>DIEGO RIPA</t>
        </is>
      </c>
      <c r="C459" s="12" t="inlineStr">
        <is>
          <t>Traumatologia y ortopedia</t>
        </is>
      </c>
      <c r="D459" s="12" t="inlineStr">
        <is>
          <t>Traumatologia</t>
        </is>
      </c>
      <c r="E459" s="22" t="n">
        <v>127</v>
      </c>
      <c r="F459" s="22" t="n">
        <v>6547</v>
      </c>
      <c r="G459" s="24" t="inlineStr">
        <is>
          <t>https://guiarsanrafael.com.ar/empresa/diego-ripa/</t>
        </is>
      </c>
    </row>
    <row r="460">
      <c r="A460" s="19" t="n">
        <v>459</v>
      </c>
      <c r="B460" s="20" t="inlineStr">
        <is>
          <t>DIEGO SOSA</t>
        </is>
      </c>
      <c r="C460" s="14" t="inlineStr">
        <is>
          <t>Traumatologia y ortopedia</t>
        </is>
      </c>
      <c r="D460" s="14" t="inlineStr">
        <is>
          <t>Traumatologia</t>
        </is>
      </c>
      <c r="E460" s="19" t="n">
        <v>127</v>
      </c>
      <c r="F460" s="19" t="n">
        <v>6548</v>
      </c>
      <c r="G460" s="21" t="inlineStr">
        <is>
          <t>https://guiarsanrafael.com.ar/empresa/diego-sosa/</t>
        </is>
      </c>
    </row>
    <row r="461">
      <c r="A461" s="22" t="n">
        <v>460</v>
      </c>
      <c r="B461" s="23" t="inlineStr">
        <is>
          <t>DIEGO VILLARRUEL</t>
        </is>
      </c>
      <c r="C461" s="12" t="inlineStr">
        <is>
          <t>Electricistas</t>
        </is>
      </c>
      <c r="D461" s="12" t="inlineStr">
        <is>
          <t>Electricidad</t>
        </is>
      </c>
      <c r="E461" s="22" t="n">
        <v>36</v>
      </c>
      <c r="F461" s="22" t="n">
        <v>10282</v>
      </c>
      <c r="G461" s="24" t="inlineStr">
        <is>
          <t>https://guiarsanrafael.com.ar/empresa/diego-villarruel/</t>
        </is>
      </c>
    </row>
    <row r="462">
      <c r="A462" s="19" t="n">
        <v>461</v>
      </c>
      <c r="B462" s="20" t="inlineStr">
        <is>
          <t>Diesel Lange SRL</t>
        </is>
      </c>
      <c r="C462" s="14" t="inlineStr">
        <is>
          <t>Automotores</t>
        </is>
      </c>
      <c r="D462" s="14" t="inlineStr">
        <is>
          <t>Mecanica de tractores</t>
        </is>
      </c>
      <c r="E462" s="19" t="n">
        <v>70</v>
      </c>
      <c r="F462" s="19" t="n">
        <v>8475</v>
      </c>
      <c r="G462" s="21" t="inlineStr">
        <is>
          <t>https://guiarsanrafael.com.ar/empresa/diesel-lange-srl/</t>
        </is>
      </c>
    </row>
    <row r="463">
      <c r="A463" s="22" t="n">
        <v>462</v>
      </c>
      <c r="B463" s="23" t="inlineStr">
        <is>
          <t>DIETETICA 66</t>
        </is>
      </c>
      <c r="C463" s="12" t="inlineStr">
        <is>
          <t>Dieteticas productos naturales</t>
        </is>
      </c>
      <c r="D463" s="12" t="inlineStr">
        <is>
          <t>Dieteticas</t>
        </is>
      </c>
      <c r="E463" s="22" t="n">
        <v>124</v>
      </c>
      <c r="F463" s="22" t="n">
        <v>6792</v>
      </c>
      <c r="G463" s="24" t="inlineStr">
        <is>
          <t>https://guiarsanrafael.com.ar/empresa/dietetica-66/</t>
        </is>
      </c>
    </row>
    <row r="464">
      <c r="A464" s="19" t="n">
        <v>463</v>
      </c>
      <c r="B464" s="20" t="inlineStr">
        <is>
          <t>DIETETICA INTEGRAL</t>
        </is>
      </c>
      <c r="C464" s="14" t="inlineStr">
        <is>
          <t>Dieteticas productos naturales</t>
        </is>
      </c>
      <c r="D464" s="14" t="inlineStr">
        <is>
          <t>Dieteticas</t>
        </is>
      </c>
      <c r="E464" s="19" t="n">
        <v>174</v>
      </c>
      <c r="F464" s="19" t="n">
        <v>4118</v>
      </c>
      <c r="G464" s="21" t="inlineStr">
        <is>
          <t>https://guiarsanrafael.com.ar/empresa/dietetica-integral/</t>
        </is>
      </c>
    </row>
    <row r="465">
      <c r="A465" s="22" t="n">
        <v>464</v>
      </c>
      <c r="B465" s="23" t="inlineStr">
        <is>
          <t>Dietetica San Rafael</t>
        </is>
      </c>
      <c r="C465" s="12" t="inlineStr">
        <is>
          <t>Dieteticas productos naturales</t>
        </is>
      </c>
      <c r="D465" s="12" t="inlineStr">
        <is>
          <t>Dieteticas</t>
        </is>
      </c>
      <c r="E465" s="22" t="n">
        <v>54</v>
      </c>
      <c r="F465" s="22" t="n">
        <v>9230</v>
      </c>
      <c r="G465" s="24" t="inlineStr">
        <is>
          <t>https://guiarsanrafael.com.ar/empresa/dietetica-san-rafael/</t>
        </is>
      </c>
    </row>
    <row r="466">
      <c r="A466" s="19" t="n">
        <v>465</v>
      </c>
      <c r="B466" s="20" t="inlineStr">
        <is>
          <t>DIETÉTICA AZAFRÁN</t>
        </is>
      </c>
      <c r="C466" s="14" t="inlineStr">
        <is>
          <t>Almacen celiaco</t>
        </is>
      </c>
      <c r="D466" s="14" t="inlineStr">
        <is>
          <t>Almacen celiaco</t>
        </is>
      </c>
      <c r="E466" s="19" t="n">
        <v>54</v>
      </c>
      <c r="F466" s="19" t="n">
        <v>9224</v>
      </c>
      <c r="G466" s="21" t="inlineStr">
        <is>
          <t>https://guiarsanrafael.com.ar/empresa/dietetica-azafran/</t>
        </is>
      </c>
    </row>
    <row r="467">
      <c r="A467" s="22" t="n">
        <v>466</v>
      </c>
      <c r="B467" s="23" t="inlineStr">
        <is>
          <t>DIETÉTICA PRIMAVERA</t>
        </is>
      </c>
      <c r="C467" s="12" t="inlineStr">
        <is>
          <t>Almacen natural</t>
        </is>
      </c>
      <c r="D467" s="12" t="inlineStr">
        <is>
          <t>Almacen natural</t>
        </is>
      </c>
      <c r="E467" s="22" t="n">
        <v>54</v>
      </c>
      <c r="F467" s="22" t="n">
        <v>9225</v>
      </c>
      <c r="G467" s="24" t="inlineStr">
        <is>
          <t>https://guiarsanrafael.com.ar/empresa/dietetica-primavera/</t>
        </is>
      </c>
    </row>
    <row r="468">
      <c r="A468" s="19" t="n">
        <v>467</v>
      </c>
      <c r="B468" s="20" t="inlineStr">
        <is>
          <t>Dietética Tomas Todo Suelto</t>
        </is>
      </c>
      <c r="C468" s="14" t="inlineStr">
        <is>
          <t>Dieteticas productos naturales</t>
        </is>
      </c>
      <c r="D468" s="14" t="inlineStr">
        <is>
          <t>Almacen natural</t>
        </is>
      </c>
      <c r="E468" s="19" t="n">
        <v>54</v>
      </c>
      <c r="F468" s="19" t="n">
        <v>9229</v>
      </c>
      <c r="G468" s="21" t="inlineStr">
        <is>
          <t>https://guiarsanrafael.com.ar/empresa/dietetica-tomas-todo-suelto/</t>
        </is>
      </c>
    </row>
    <row r="469">
      <c r="A469" s="22" t="n">
        <v>468</v>
      </c>
      <c r="B469" s="23" t="inlineStr">
        <is>
          <t>Dietética Verde Limón</t>
        </is>
      </c>
      <c r="C469" s="12" t="inlineStr">
        <is>
          <t>Dieteticas productos naturales</t>
        </is>
      </c>
      <c r="D469" s="12" t="inlineStr">
        <is>
          <t>Dieteticas</t>
        </is>
      </c>
      <c r="E469" s="22" t="n">
        <v>55</v>
      </c>
      <c r="F469" s="22" t="n">
        <v>9233</v>
      </c>
      <c r="G469" s="24" t="inlineStr">
        <is>
          <t>https://guiarsanrafael.com.ar/empresa/dietetica-verde-limon/</t>
        </is>
      </c>
    </row>
    <row r="470">
      <c r="A470" s="19" t="n">
        <v>469</v>
      </c>
      <c r="B470" s="20" t="inlineStr">
        <is>
          <t>DIGER Electrónica</t>
        </is>
      </c>
      <c r="C470" s="14" t="inlineStr">
        <is>
          <t>Electronica</t>
        </is>
      </c>
      <c r="D470" s="14" t="inlineStr">
        <is>
          <t>Electronica</t>
        </is>
      </c>
      <c r="E470" s="19" t="n">
        <v>124</v>
      </c>
      <c r="F470" s="19" t="n">
        <v>6805</v>
      </c>
      <c r="G470" s="21" t="inlineStr">
        <is>
          <t>https://guiarsanrafael.com.ar/empresa/diger-electronica/</t>
        </is>
      </c>
    </row>
    <row r="471">
      <c r="A471" s="22" t="n">
        <v>470</v>
      </c>
      <c r="B471" s="23" t="inlineStr">
        <is>
          <t>DINO Librerías</t>
        </is>
      </c>
      <c r="C471" s="12" t="inlineStr">
        <is>
          <t>Librerias</t>
        </is>
      </c>
      <c r="D471" s="12" t="inlineStr">
        <is>
          <t>Librerias</t>
        </is>
      </c>
      <c r="E471" s="22" t="n">
        <v>88</v>
      </c>
      <c r="F471" s="22" t="n">
        <v>8010</v>
      </c>
      <c r="G471" s="24" t="inlineStr">
        <is>
          <t>https://guiarsanrafael.com.ar/empresa/8010/</t>
        </is>
      </c>
    </row>
    <row r="472">
      <c r="A472" s="19" t="n">
        <v>471</v>
      </c>
      <c r="B472" s="20" t="inlineStr">
        <is>
          <t>DISFRACES LAURA</t>
        </is>
      </c>
      <c r="C472" s="14" t="inlineStr">
        <is>
          <t>Alquiler de disfraces</t>
        </is>
      </c>
      <c r="D472" s="14" t="inlineStr">
        <is>
          <t>Alquiler de disfraces</t>
        </is>
      </c>
      <c r="E472" s="19" t="n">
        <v>34</v>
      </c>
      <c r="F472" s="19" t="n">
        <v>10526</v>
      </c>
      <c r="G472" s="21" t="inlineStr">
        <is>
          <t>https://guiarsanrafael.com.ar/empresa/disfraces-laura/</t>
        </is>
      </c>
    </row>
    <row r="473">
      <c r="A473" s="22" t="n">
        <v>472</v>
      </c>
      <c r="B473" s="23" t="inlineStr">
        <is>
          <t>Distinguida Tradición</t>
        </is>
      </c>
      <c r="C473" s="12" t="inlineStr">
        <is>
          <t>Artesanias</t>
        </is>
      </c>
      <c r="D473" s="12" t="inlineStr">
        <is>
          <t>Artesanias</t>
        </is>
      </c>
      <c r="E473" s="22" t="n">
        <v>53</v>
      </c>
      <c r="F473" s="22" t="n">
        <v>9275</v>
      </c>
      <c r="G473" s="24" t="inlineStr">
        <is>
          <t>https://guiarsanrafael.com.ar/empresa/9275/</t>
        </is>
      </c>
    </row>
    <row r="474">
      <c r="A474" s="19" t="n">
        <v>473</v>
      </c>
      <c r="B474" s="20" t="inlineStr">
        <is>
          <t>DISTRIBUIDORA SAJ</t>
        </is>
      </c>
      <c r="C474" s="14" t="inlineStr">
        <is>
          <t>Bicicleterias</t>
        </is>
      </c>
      <c r="D474" s="14" t="inlineStr">
        <is>
          <t>Bicicleterias</t>
        </is>
      </c>
      <c r="E474" s="19" t="n">
        <v>3</v>
      </c>
      <c r="F474" s="19" t="n">
        <v>14845</v>
      </c>
      <c r="G474" s="21" t="inlineStr">
        <is>
          <t>https://guiarsanrafael.com.ar/empresa/distribuidora-saj/</t>
        </is>
      </c>
    </row>
    <row r="475">
      <c r="A475" s="22" t="n">
        <v>474</v>
      </c>
      <c r="B475" s="23" t="inlineStr">
        <is>
          <t>DISTRIMAR Distribuidora Mayorista</t>
        </is>
      </c>
      <c r="C475" s="12" t="inlineStr">
        <is>
          <t>Cotillon</t>
        </is>
      </c>
      <c r="D475" s="12" t="inlineStr">
        <is>
          <t>Descartables</t>
        </is>
      </c>
      <c r="E475" s="22" t="n">
        <v>169</v>
      </c>
      <c r="F475" s="22" t="n">
        <v>4653</v>
      </c>
      <c r="G475" s="24" t="inlineStr">
        <is>
          <t>https://guiarsanrafael.com.ar/empresa/distrimar-papeleria-mayorista/</t>
        </is>
      </c>
    </row>
    <row r="476">
      <c r="A476" s="19" t="n">
        <v>475</v>
      </c>
      <c r="B476" s="20" t="inlineStr">
        <is>
          <t>DISTRISUR</t>
        </is>
      </c>
      <c r="C476" s="14" t="inlineStr">
        <is>
          <t>Herramientas</t>
        </is>
      </c>
      <c r="D476" s="14" t="inlineStr">
        <is>
          <t>Autopartes</t>
        </is>
      </c>
      <c r="E476" s="19" t="n">
        <v>182</v>
      </c>
      <c r="F476" s="19" t="n">
        <v>8423</v>
      </c>
      <c r="G476" s="21" t="inlineStr">
        <is>
          <t>https://guiarsanrafael.com.ar/empresa/distrisur/</t>
        </is>
      </c>
    </row>
    <row r="477">
      <c r="A477" s="22" t="n">
        <v>476</v>
      </c>
      <c r="B477" s="23" t="inlineStr">
        <is>
          <t>DITAINE GARAGE</t>
        </is>
      </c>
      <c r="C477" s="12" t="inlineStr">
        <is>
          <t>Estetica vehicular tuning</t>
        </is>
      </c>
      <c r="D477" s="12" t="inlineStr">
        <is>
          <t>Estetica vehicular</t>
        </is>
      </c>
      <c r="E477" s="22" t="n">
        <v>174</v>
      </c>
      <c r="F477" s="22" t="n">
        <v>4115</v>
      </c>
      <c r="G477" s="24" t="inlineStr">
        <is>
          <t>https://guiarsanrafael.com.ar/empresa/ditaine-garage/</t>
        </is>
      </c>
    </row>
    <row r="478">
      <c r="A478" s="19" t="n">
        <v>477</v>
      </c>
      <c r="B478" s="20" t="inlineStr">
        <is>
          <t>DNR Detailing</t>
        </is>
      </c>
      <c r="C478" s="14" t="inlineStr">
        <is>
          <t>Estetica vehicular tuning</t>
        </is>
      </c>
      <c r="D478" s="14" t="inlineStr">
        <is>
          <t>Estetica vehicular</t>
        </is>
      </c>
      <c r="E478" s="19" t="n">
        <v>62</v>
      </c>
      <c r="F478" s="19" t="n">
        <v>8725</v>
      </c>
      <c r="G478" s="21" t="inlineStr">
        <is>
          <t>https://guiarsanrafael.com.ar/empresa/dnr-detailing/</t>
        </is>
      </c>
    </row>
    <row r="479">
      <c r="A479" s="22" t="n">
        <v>478</v>
      </c>
      <c r="B479" s="23" t="inlineStr">
        <is>
          <t>DOLCEZZA Pastelería Artesanal</t>
        </is>
      </c>
      <c r="C479" s="12" t="inlineStr">
        <is>
          <t>Confiterias reposteria</t>
        </is>
      </c>
      <c r="D479" s="12" t="inlineStr">
        <is>
          <t>Confiteria</t>
        </is>
      </c>
      <c r="E479" s="22" t="n">
        <v>8</v>
      </c>
      <c r="F479" s="22" t="n">
        <v>14027</v>
      </c>
      <c r="G479" s="24" t="inlineStr">
        <is>
          <t>https://guiarsanrafael.com.ar/empresa/dolcezza-pasteleria-artesanal/</t>
        </is>
      </c>
    </row>
    <row r="480">
      <c r="A480" s="19" t="n">
        <v>479</v>
      </c>
      <c r="B480" s="20" t="inlineStr">
        <is>
          <t>DOMUS TERRA Inmobiliaria</t>
        </is>
      </c>
      <c r="C480" s="14" t="inlineStr">
        <is>
          <t>Corredor publico inmobiliario</t>
        </is>
      </c>
      <c r="D480" s="14" t="inlineStr">
        <is>
          <t>Corredor publico inmobiliario</t>
        </is>
      </c>
      <c r="E480" s="19" t="n">
        <v>2</v>
      </c>
      <c r="F480" s="19" t="n">
        <v>15099</v>
      </c>
      <c r="G480" s="21" t="inlineStr">
        <is>
          <t>https://guiarsanrafael.com.ar/empresa/domus-terra-inmobiliaria/</t>
        </is>
      </c>
    </row>
    <row r="481">
      <c r="A481" s="22" t="n">
        <v>480</v>
      </c>
      <c r="B481" s="23" t="inlineStr">
        <is>
          <t>DON CARMELO Mueblería Hogar</t>
        </is>
      </c>
      <c r="C481" s="12" t="inlineStr">
        <is>
          <t>Blanco colchones sabanas tuallones</t>
        </is>
      </c>
      <c r="D481" s="12" t="inlineStr">
        <is>
          <t>Blanco</t>
        </is>
      </c>
      <c r="E481" s="22" t="n">
        <v>18</v>
      </c>
      <c r="F481" s="22" t="n">
        <v>12559</v>
      </c>
      <c r="G481" s="24" t="inlineStr">
        <is>
          <t>https://guiarsanrafael.com.ar/empresa/don-carmelo-muebleria-hogar/</t>
        </is>
      </c>
    </row>
    <row r="482">
      <c r="A482" s="19" t="n">
        <v>481</v>
      </c>
      <c r="B482" s="20" t="inlineStr">
        <is>
          <t>DON CARMELO Premium</t>
        </is>
      </c>
      <c r="C482" s="14" t="inlineStr">
        <is>
          <t>Blanco colchones sabanas tuallones</t>
        </is>
      </c>
      <c r="D482" s="14" t="inlineStr">
        <is>
          <t>Blanco</t>
        </is>
      </c>
      <c r="E482" s="19" t="n">
        <v>17</v>
      </c>
      <c r="F482" s="19" t="n">
        <v>12563</v>
      </c>
      <c r="G482" s="21" t="inlineStr">
        <is>
          <t>https://guiarsanrafael.com.ar/empresa/don-carmelo-premium/</t>
        </is>
      </c>
    </row>
    <row r="483">
      <c r="A483" s="22" t="n">
        <v>482</v>
      </c>
      <c r="B483" s="23" t="inlineStr">
        <is>
          <t>Donati Bruno Luciano</t>
        </is>
      </c>
      <c r="C483" s="12" t="inlineStr">
        <is>
          <t>Abogados abogadas estudios juridicos</t>
        </is>
      </c>
      <c r="D483" s="12" t="inlineStr">
        <is>
          <t>Abogados</t>
        </is>
      </c>
      <c r="E483" s="22" t="n">
        <v>110</v>
      </c>
      <c r="F483" s="22" t="n">
        <v>7226</v>
      </c>
      <c r="G483" s="24" t="inlineStr">
        <is>
          <t>https://guiarsanrafael.com.ar/empresa/donati-bruno-luciano/</t>
        </is>
      </c>
    </row>
    <row r="484">
      <c r="A484" s="19" t="n">
        <v>483</v>
      </c>
      <c r="B484" s="20" t="inlineStr">
        <is>
          <t>DORIELS Perfumería</t>
        </is>
      </c>
      <c r="C484" s="14" t="inlineStr">
        <is>
          <t>Perfrumerias cosmeticos cosmetica</t>
        </is>
      </c>
      <c r="D484" s="14" t="inlineStr">
        <is>
          <t>Perfumeria</t>
        </is>
      </c>
      <c r="E484" s="19" t="n">
        <v>2</v>
      </c>
      <c r="F484" s="19" t="n">
        <v>15013</v>
      </c>
      <c r="G484" s="21" t="inlineStr">
        <is>
          <t>https://guiarsanrafael.com.ar/empresa/doriels-perfumeria/</t>
        </is>
      </c>
    </row>
    <row r="485">
      <c r="A485" s="22" t="n">
        <v>484</v>
      </c>
      <c r="B485" s="23" t="inlineStr">
        <is>
          <t>DR. IPHONE</t>
        </is>
      </c>
      <c r="C485" s="12" t="inlineStr">
        <is>
          <t>Accesorios de telefonia celular</t>
        </is>
      </c>
      <c r="D485" s="12" t="inlineStr">
        <is>
          <t>Accesorios de telefonia</t>
        </is>
      </c>
      <c r="E485" s="22" t="n">
        <v>87</v>
      </c>
      <c r="F485" s="22" t="n">
        <v>7980</v>
      </c>
      <c r="G485" s="24" t="inlineStr">
        <is>
          <t>https://guiarsanrafael.com.ar/empresa/dr-iphone/</t>
        </is>
      </c>
    </row>
    <row r="486">
      <c r="A486" s="19" t="n">
        <v>485</v>
      </c>
      <c r="B486" s="20" t="inlineStr">
        <is>
          <t>DR. LUFFI Clínica Veterinaria</t>
        </is>
      </c>
      <c r="C486" s="14" t="inlineStr">
        <is>
          <t>Alimentos balanceados</t>
        </is>
      </c>
      <c r="D486" s="14" t="inlineStr">
        <is>
          <t>Alimentos balanceados</t>
        </is>
      </c>
      <c r="E486" s="19" t="n">
        <v>139</v>
      </c>
      <c r="F486" s="19" t="n">
        <v>5734</v>
      </c>
      <c r="G486" s="21" t="inlineStr">
        <is>
          <t>https://guiarsanrafael.com.ar/empresa/dr-luffi-clinica-veterinaria/</t>
        </is>
      </c>
    </row>
    <row r="487">
      <c r="A487" s="22" t="n">
        <v>486</v>
      </c>
      <c r="B487" s="23" t="inlineStr">
        <is>
          <t>DT ANDRES TAVARES Mecánica</t>
        </is>
      </c>
      <c r="C487" s="12" t="inlineStr">
        <is>
          <t>Inyeccion electronica</t>
        </is>
      </c>
      <c r="D487" s="12" t="inlineStr">
        <is>
          <t>Inyeccion electronica</t>
        </is>
      </c>
      <c r="E487" s="22" t="n">
        <v>7</v>
      </c>
      <c r="F487" s="22" t="n">
        <v>14208</v>
      </c>
      <c r="G487" s="24" t="inlineStr">
        <is>
          <t>https://guiarsanrafael.com.ar/empresa/dt-andres-tavares-mecanica/</t>
        </is>
      </c>
    </row>
    <row r="488">
      <c r="A488" s="19" t="n">
        <v>487</v>
      </c>
      <c r="B488" s="20" t="inlineStr">
        <is>
          <t>DULCE DELICIA</t>
        </is>
      </c>
      <c r="C488" s="14" t="inlineStr">
        <is>
          <t>Fabrica de tortas reposteria</t>
        </is>
      </c>
      <c r="D488" s="14" t="inlineStr">
        <is>
          <t>Fabrica de tortas</t>
        </is>
      </c>
      <c r="E488" s="19" t="n">
        <v>98</v>
      </c>
      <c r="F488" s="19" t="n">
        <v>7493</v>
      </c>
      <c r="G488" s="21" t="inlineStr">
        <is>
          <t>https://guiarsanrafael.com.ar/empresa/dulce-delicia/</t>
        </is>
      </c>
    </row>
    <row r="489">
      <c r="A489" s="22" t="n">
        <v>488</v>
      </c>
      <c r="B489" s="23" t="inlineStr">
        <is>
          <t>DULCE TENTACION Repostería</t>
        </is>
      </c>
      <c r="C489" s="12" t="inlineStr">
        <is>
          <t>Fabrica de tortas reposteria</t>
        </is>
      </c>
      <c r="D489" s="12" t="inlineStr">
        <is>
          <t>Fabrica de tortas</t>
        </is>
      </c>
      <c r="E489" s="22" t="n">
        <v>46</v>
      </c>
      <c r="F489" s="22" t="n">
        <v>9631</v>
      </c>
      <c r="G489" s="24" t="inlineStr">
        <is>
          <t>https://guiarsanrafael.com.ar/empresa/dulce-tentacion-reposteria/</t>
        </is>
      </c>
    </row>
    <row r="490">
      <c r="A490" s="19" t="n">
        <v>489</v>
      </c>
      <c r="B490" s="20" t="inlineStr">
        <is>
          <t>DURAN Maria Jimena</t>
        </is>
      </c>
      <c r="C490" s="14" t="inlineStr">
        <is>
          <t>Escribanias escribanos escribanas mandatario mandataria notarios notarias</t>
        </is>
      </c>
      <c r="D490" s="14" t="inlineStr">
        <is>
          <t>Escribanas</t>
        </is>
      </c>
      <c r="E490" s="19" t="n">
        <v>84</v>
      </c>
      <c r="F490" s="19" t="n">
        <v>8175</v>
      </c>
      <c r="G490" s="21" t="inlineStr">
        <is>
          <t>https://guiarsanrafael.com.ar/empresa/duran-maria-jimena/</t>
        </is>
      </c>
    </row>
    <row r="491">
      <c r="A491" s="22" t="n">
        <v>490</v>
      </c>
      <c r="B491" s="23" t="inlineStr">
        <is>
          <t>Dámaris Ludueña</t>
        </is>
      </c>
      <c r="C491" s="12" t="inlineStr">
        <is>
          <t>Medicina de familia</t>
        </is>
      </c>
      <c r="D491" s="12" t="inlineStr">
        <is>
          <t>Clinica medica</t>
        </is>
      </c>
      <c r="E491" s="22" t="n">
        <v>151</v>
      </c>
      <c r="F491" s="22" t="n">
        <v>5406</v>
      </c>
      <c r="G491" s="24" t="inlineStr">
        <is>
          <t>https://guiarsanrafael.com.ar/empresa/damaris-luduena/</t>
        </is>
      </c>
    </row>
    <row r="492">
      <c r="A492" s="19" t="n">
        <v>491</v>
      </c>
      <c r="B492" s="20" t="inlineStr">
        <is>
          <t>Dí Césare	Pablo Federico</t>
        </is>
      </c>
      <c r="C492" s="14" t="inlineStr">
        <is>
          <t>Abogados abogadas estudios juridicos</t>
        </is>
      </c>
      <c r="D492" s="14" t="inlineStr">
        <is>
          <t>Abogados</t>
        </is>
      </c>
      <c r="E492" s="19" t="n">
        <v>117</v>
      </c>
      <c r="F492" s="19" t="n">
        <v>7146</v>
      </c>
      <c r="G492" s="21" t="inlineStr">
        <is>
          <t>https://guiarsanrafael.com.ar/empresa/di-cesarepablo-federico/</t>
        </is>
      </c>
    </row>
    <row r="493">
      <c r="A493" s="22" t="n">
        <v>492</v>
      </c>
      <c r="B493" s="23" t="inlineStr">
        <is>
          <t>Díaz Gastón Emilio</t>
        </is>
      </c>
      <c r="C493" s="12" t="inlineStr">
        <is>
          <t>Abogados abogadas estudios juridicos</t>
        </is>
      </c>
      <c r="D493" s="12" t="inlineStr">
        <is>
          <t>Abogados</t>
        </is>
      </c>
      <c r="E493" s="22" t="n">
        <v>107</v>
      </c>
      <c r="F493" s="22" t="n">
        <v>7269</v>
      </c>
      <c r="G493" s="24" t="inlineStr">
        <is>
          <t>https://guiarsanrafael.com.ar/empresa/diaz-gaston-emilio/</t>
        </is>
      </c>
    </row>
    <row r="494">
      <c r="A494" s="19" t="n">
        <v>493</v>
      </c>
      <c r="B494" s="20" t="inlineStr">
        <is>
          <t>Díaz Goma</t>
        </is>
      </c>
      <c r="C494" s="14" t="inlineStr">
        <is>
          <t>Articulos de goma</t>
        </is>
      </c>
      <c r="D494" s="14" t="inlineStr">
        <is>
          <t>Articulos de goma</t>
        </is>
      </c>
      <c r="E494" s="19" t="n">
        <v>68</v>
      </c>
      <c r="F494" s="19" t="n">
        <v>8508</v>
      </c>
      <c r="G494" s="21" t="inlineStr">
        <is>
          <t>https://guiarsanrafael.com.ar/empresa/diaz-goma/</t>
        </is>
      </c>
    </row>
    <row r="495">
      <c r="A495" s="22" t="n">
        <v>494</v>
      </c>
      <c r="B495" s="23" t="inlineStr">
        <is>
          <t>ECHEVERRIA Alejandro Rafael</t>
        </is>
      </c>
      <c r="C495" s="12" t="inlineStr">
        <is>
          <t>Escribanias escribanos escribanas mandatario mandataria notarios notarias</t>
        </is>
      </c>
      <c r="D495" s="12" t="inlineStr">
        <is>
          <t>Escribanias</t>
        </is>
      </c>
      <c r="E495" s="22" t="n">
        <v>84</v>
      </c>
      <c r="F495" s="22" t="n">
        <v>8176</v>
      </c>
      <c r="G495" s="24" t="inlineStr">
        <is>
          <t>https://guiarsanrafael.com.ar/empresa/echeverria-alejandro-rafael/</t>
        </is>
      </c>
    </row>
    <row r="496">
      <c r="A496" s="19" t="n">
        <v>495</v>
      </c>
      <c r="B496" s="20" t="inlineStr">
        <is>
          <t>ECOLASER Servicio Técnico</t>
        </is>
      </c>
      <c r="C496" s="14" t="inlineStr">
        <is>
          <t>Fotocopiadoras servicio tecnico informatica electronica</t>
        </is>
      </c>
      <c r="D496" s="14" t="inlineStr">
        <is>
          <t>Fotocopiadoras</t>
        </is>
      </c>
      <c r="E496" s="19" t="n">
        <v>34</v>
      </c>
      <c r="F496" s="19" t="n">
        <v>10482</v>
      </c>
      <c r="G496" s="21" t="inlineStr">
        <is>
          <t>https://guiarsanrafael.com.ar/empresa/ecolaser-servicio-tecnico/</t>
        </is>
      </c>
    </row>
    <row r="497">
      <c r="A497" s="22" t="n">
        <v>496</v>
      </c>
      <c r="B497" s="23" t="inlineStr">
        <is>
          <t>ECXO Distribuidora Mayorista</t>
        </is>
      </c>
      <c r="C497" s="12" t="inlineStr">
        <is>
          <t>Distribuidoras</t>
        </is>
      </c>
      <c r="D497" s="12" t="inlineStr">
        <is>
          <t>Distribuidoras</t>
        </is>
      </c>
      <c r="E497" s="22" t="n">
        <v>18</v>
      </c>
      <c r="F497" s="22" t="n">
        <v>12439</v>
      </c>
      <c r="G497" s="24" t="inlineStr">
        <is>
          <t>https://guiarsanrafael.com.ar/empresa/ecxo-distribuidora-mayorista/</t>
        </is>
      </c>
    </row>
    <row r="498">
      <c r="A498" s="19" t="n">
        <v>497</v>
      </c>
      <c r="B498" s="20" t="inlineStr">
        <is>
          <t>Edgardo Sciarrabba</t>
        </is>
      </c>
      <c r="C498" s="14" t="inlineStr">
        <is>
          <t>Otorrinolaringologia nariz garganta oido</t>
        </is>
      </c>
      <c r="D498" s="14" t="inlineStr">
        <is>
          <t>Nariz garganta y oido</t>
        </is>
      </c>
      <c r="E498" s="19" t="n">
        <v>147</v>
      </c>
      <c r="F498" s="19" t="n">
        <v>5460</v>
      </c>
      <c r="G498" s="21" t="inlineStr">
        <is>
          <t>https://guiarsanrafael.com.ar/empresa/edgardo-sciarrabba/</t>
        </is>
      </c>
    </row>
    <row r="499">
      <c r="A499" s="22" t="n">
        <v>498</v>
      </c>
      <c r="B499" s="23" t="inlineStr">
        <is>
          <t>Eduardo Andres Murcia</t>
        </is>
      </c>
      <c r="C499" s="12" t="inlineStr">
        <is>
          <t>Odontologia</t>
        </is>
      </c>
      <c r="D499" s="12" t="inlineStr">
        <is>
          <t>Odontologia</t>
        </is>
      </c>
      <c r="E499" s="22" t="n">
        <v>101</v>
      </c>
      <c r="F499" s="22" t="n">
        <v>7449</v>
      </c>
      <c r="G499" s="24" t="inlineStr">
        <is>
          <t>https://guiarsanrafael.com.ar/empresa/eduardo-andres-murcia/</t>
        </is>
      </c>
    </row>
    <row r="500">
      <c r="A500" s="19" t="n">
        <v>499</v>
      </c>
      <c r="B500" s="20" t="inlineStr">
        <is>
          <t>EDUARDO CHAVARRI</t>
        </is>
      </c>
      <c r="C500" s="14" t="inlineStr">
        <is>
          <t>Traumatologia y ortopedia</t>
        </is>
      </c>
      <c r="D500" s="14" t="inlineStr">
        <is>
          <t>Traumatologia</t>
        </is>
      </c>
      <c r="E500" s="19" t="n">
        <v>127</v>
      </c>
      <c r="F500" s="19" t="n">
        <v>6549</v>
      </c>
      <c r="G500" s="21" t="inlineStr">
        <is>
          <t>https://guiarsanrafael.com.ar/empresa/eduardo-chavari/</t>
        </is>
      </c>
    </row>
    <row r="501">
      <c r="A501" s="22" t="n">
        <v>500</v>
      </c>
      <c r="B501" s="23" t="inlineStr">
        <is>
          <t>EDUARDO DI CESARE</t>
        </is>
      </c>
      <c r="C501" s="12" t="inlineStr">
        <is>
          <t>Gastroenterologia</t>
        </is>
      </c>
      <c r="D501" s="12" t="inlineStr">
        <is>
          <t>Gastroenterologia</t>
        </is>
      </c>
      <c r="E501" s="22" t="n">
        <v>61</v>
      </c>
      <c r="F501" s="22" t="n">
        <v>8781</v>
      </c>
      <c r="G501" s="24" t="inlineStr">
        <is>
          <t>https://guiarsanrafael.com.ar/empresa/eduardo-di-cesare/</t>
        </is>
      </c>
    </row>
    <row r="502">
      <c r="A502" s="19" t="n">
        <v>501</v>
      </c>
      <c r="B502" s="20" t="inlineStr">
        <is>
          <t>Eduardo Martínez</t>
        </is>
      </c>
      <c r="C502" s="14" t="inlineStr">
        <is>
          <t>Odontologia</t>
        </is>
      </c>
      <c r="D502" s="14" t="inlineStr">
        <is>
          <t>Odontologia</t>
        </is>
      </c>
      <c r="E502" s="19" t="n">
        <v>102</v>
      </c>
      <c r="F502" s="19" t="n">
        <v>7393</v>
      </c>
      <c r="G502" s="21" t="inlineStr">
        <is>
          <t>https://guiarsanrafael.com.ar/empresa/eduardo-martinez/</t>
        </is>
      </c>
    </row>
    <row r="503">
      <c r="A503" s="22" t="n">
        <v>502</v>
      </c>
      <c r="B503" s="23" t="inlineStr">
        <is>
          <t>EDUARDO RIOFRIO</t>
        </is>
      </c>
      <c r="C503" s="12" t="inlineStr">
        <is>
          <t>Productor de seguros</t>
        </is>
      </c>
      <c r="D503" s="12" t="inlineStr">
        <is>
          <t>Productor de seguros</t>
        </is>
      </c>
      <c r="E503" s="22" t="n">
        <v>141</v>
      </c>
      <c r="F503" s="22" t="n">
        <v>5558</v>
      </c>
      <c r="G503" s="24" t="inlineStr">
        <is>
          <t>https://guiarsanrafael.com.ar/empresa/eduardo-riofrio/</t>
        </is>
      </c>
    </row>
    <row r="504">
      <c r="A504" s="19" t="n">
        <v>503</v>
      </c>
      <c r="B504" s="20" t="inlineStr">
        <is>
          <t>EDUKAN San Rafael</t>
        </is>
      </c>
      <c r="C504" s="14" t="inlineStr">
        <is>
          <t>Escuela de adiestramiento</t>
        </is>
      </c>
      <c r="D504" s="14" t="inlineStr">
        <is>
          <t>Escuela de adiestramiento</t>
        </is>
      </c>
      <c r="E504" s="19" t="n">
        <v>1</v>
      </c>
      <c r="F504" s="19" t="n">
        <v>15148</v>
      </c>
      <c r="G504" s="21" t="inlineStr">
        <is>
          <t>https://guiarsanrafael.com.ar/empresa/edukan-san-rafael/</t>
        </is>
      </c>
    </row>
    <row r="505">
      <c r="A505" s="22" t="n">
        <v>504</v>
      </c>
      <c r="B505" s="23" t="inlineStr">
        <is>
          <t>EFETA LIBROS</t>
        </is>
      </c>
      <c r="C505" s="12" t="inlineStr">
        <is>
          <t>Librerias</t>
        </is>
      </c>
      <c r="D505" s="12" t="inlineStr">
        <is>
          <t>Librerias</t>
        </is>
      </c>
      <c r="E505" s="22" t="n">
        <v>88</v>
      </c>
      <c r="F505" s="22" t="n">
        <v>8007</v>
      </c>
      <c r="G505" s="24" t="inlineStr">
        <is>
          <t>https://guiarsanrafael.com.ar/empresa/efeta-libros/</t>
        </is>
      </c>
    </row>
    <row r="506">
      <c r="A506" s="19" t="n">
        <v>505</v>
      </c>
      <c r="B506" s="20" t="inlineStr">
        <is>
          <t>EL ARBOL Tienda de Regionales</t>
        </is>
      </c>
      <c r="C506" s="14" t="inlineStr">
        <is>
          <t>Artesanias</t>
        </is>
      </c>
      <c r="D506" s="14" t="inlineStr">
        <is>
          <t>Almacen natural</t>
        </is>
      </c>
      <c r="E506" s="19" t="n">
        <v>52</v>
      </c>
      <c r="F506" s="19" t="n">
        <v>9299</v>
      </c>
      <c r="G506" s="21" t="inlineStr">
        <is>
          <t>https://guiarsanrafael.com.ar/empresa/el-arbol/</t>
        </is>
      </c>
    </row>
    <row r="507">
      <c r="A507" s="22" t="n">
        <v>506</v>
      </c>
      <c r="B507" s="23" t="inlineStr">
        <is>
          <t>EL CARMELO Charcutería Artesanal</t>
        </is>
      </c>
      <c r="C507" s="12" t="inlineStr">
        <is>
          <t>Almacen minimarket</t>
        </is>
      </c>
      <c r="D507" s="12" t="inlineStr">
        <is>
          <t>Charcuteria</t>
        </is>
      </c>
      <c r="E507" s="22" t="n">
        <v>39</v>
      </c>
      <c r="F507" s="22" t="n">
        <v>10143</v>
      </c>
      <c r="G507" s="24" t="inlineStr">
        <is>
          <t>https://guiarsanrafael.com.ar/empresa/el-carmelo-charcuteria-artasanal/</t>
        </is>
      </c>
    </row>
    <row r="508">
      <c r="A508" s="19" t="n">
        <v>507</v>
      </c>
      <c r="B508" s="20" t="inlineStr">
        <is>
          <t>El CELU</t>
        </is>
      </c>
      <c r="C508" s="14" t="inlineStr">
        <is>
          <t>Accesorios de telefonia celular</t>
        </is>
      </c>
      <c r="D508" s="14" t="inlineStr">
        <is>
          <t>Accesorios de telefonia</t>
        </is>
      </c>
      <c r="E508" s="19" t="n">
        <v>97</v>
      </c>
      <c r="F508" s="19" t="n">
        <v>7549</v>
      </c>
      <c r="G508" s="21" t="inlineStr">
        <is>
          <t>https://guiarsanrafael.com.ar/empresa/el-celu-2/</t>
        </is>
      </c>
    </row>
    <row r="509">
      <c r="A509" s="22" t="n">
        <v>508</v>
      </c>
      <c r="B509" s="23" t="inlineStr">
        <is>
          <t>El CELU</t>
        </is>
      </c>
      <c r="C509" s="12" t="inlineStr">
        <is>
          <t>Accesorios de telefonia celular</t>
        </is>
      </c>
      <c r="D509" s="12" t="inlineStr">
        <is>
          <t>Accesorios de telefonia</t>
        </is>
      </c>
      <c r="E509" s="22" t="n">
        <v>97</v>
      </c>
      <c r="F509" s="22" t="n">
        <v>7550</v>
      </c>
      <c r="G509" s="24" t="inlineStr">
        <is>
          <t>https://guiarsanrafael.com.ar/empresa/el-celu/</t>
        </is>
      </c>
    </row>
    <row r="510">
      <c r="A510" s="19" t="n">
        <v>509</v>
      </c>
      <c r="B510" s="20" t="inlineStr">
        <is>
          <t>El CELU</t>
        </is>
      </c>
      <c r="C510" s="14" t="inlineStr">
        <is>
          <t>Accesorios de telefonia celular</t>
        </is>
      </c>
      <c r="D510" s="14" t="inlineStr">
        <is>
          <t>Accesorios de telefonia</t>
        </is>
      </c>
      <c r="E510" s="19" t="n">
        <v>97</v>
      </c>
      <c r="F510" s="19" t="n">
        <v>7551</v>
      </c>
      <c r="G510" s="21" t="inlineStr">
        <is>
          <t>https://guiarsanrafael.com.ar/empresa/el-celu-3/</t>
        </is>
      </c>
    </row>
    <row r="511">
      <c r="A511" s="22" t="n">
        <v>510</v>
      </c>
      <c r="B511" s="23" t="inlineStr">
        <is>
          <t>El CELU</t>
        </is>
      </c>
      <c r="C511" s="12" t="inlineStr">
        <is>
          <t>Accesorios de telefonia celular</t>
        </is>
      </c>
      <c r="D511" s="12" t="inlineStr">
        <is>
          <t>Accesorios de telefonia</t>
        </is>
      </c>
      <c r="E511" s="22" t="n">
        <v>97</v>
      </c>
      <c r="F511" s="22" t="n">
        <v>7562</v>
      </c>
      <c r="G511" s="24" t="inlineStr">
        <is>
          <t>https://guiarsanrafael.com.ar/empresa/el-celu-4/</t>
        </is>
      </c>
    </row>
    <row r="512">
      <c r="A512" s="19" t="n">
        <v>511</v>
      </c>
      <c r="B512" s="20" t="inlineStr">
        <is>
          <t>EL FERRETERO</t>
        </is>
      </c>
      <c r="C512" s="14" t="inlineStr">
        <is>
          <t>Ferreterias herramientas</t>
        </is>
      </c>
      <c r="D512" s="14" t="inlineStr">
        <is>
          <t>Ferreterias</t>
        </is>
      </c>
      <c r="E512" s="19" t="n">
        <v>89</v>
      </c>
      <c r="F512" s="19" t="n">
        <v>7918</v>
      </c>
      <c r="G512" s="21" t="inlineStr">
        <is>
          <t>https://guiarsanrafael.com.ar/empresa/el-ferretero/</t>
        </is>
      </c>
    </row>
    <row r="513">
      <c r="A513" s="22" t="n">
        <v>512</v>
      </c>
      <c r="B513" s="23" t="inlineStr">
        <is>
          <t>El Fortín Panadería &amp; Café</t>
        </is>
      </c>
      <c r="C513" s="12" t="inlineStr">
        <is>
          <t>Cafeterias cafe desayunos</t>
        </is>
      </c>
      <c r="D513" s="12" t="inlineStr">
        <is>
          <t>Panaderia</t>
        </is>
      </c>
      <c r="E513" s="22" t="n">
        <v>63</v>
      </c>
      <c r="F513" s="22" t="n">
        <v>8671</v>
      </c>
      <c r="G513" s="24" t="inlineStr">
        <is>
          <t>https://guiarsanrafael.com.ar/empresa/el-fortin-panaderia-cafe/</t>
        </is>
      </c>
    </row>
    <row r="514">
      <c r="A514" s="19" t="n">
        <v>513</v>
      </c>
      <c r="B514" s="20" t="inlineStr">
        <is>
          <t>EL GALPON Fiambrería</t>
        </is>
      </c>
      <c r="C514" s="14" t="inlineStr">
        <is>
          <t>Distribuidoras</t>
        </is>
      </c>
      <c r="D514" s="14" t="inlineStr">
        <is>
          <t>Distribuidoras</t>
        </is>
      </c>
      <c r="E514" s="19" t="n">
        <v>4</v>
      </c>
      <c r="F514" s="19" t="n">
        <v>14705</v>
      </c>
      <c r="G514" s="21" t="inlineStr">
        <is>
          <t>https://guiarsanrafael.com.ar/empresa/el-galppon-fiambreria/</t>
        </is>
      </c>
    </row>
    <row r="515">
      <c r="A515" s="22" t="n">
        <v>514</v>
      </c>
      <c r="B515" s="23" t="inlineStr">
        <is>
          <t>EL GRINGO Ferretería</t>
        </is>
      </c>
      <c r="C515" s="12" t="inlineStr">
        <is>
          <t>Ferreterias herramientas</t>
        </is>
      </c>
      <c r="D515" s="12" t="inlineStr">
        <is>
          <t>Ferreterias</t>
        </is>
      </c>
      <c r="E515" s="22" t="n">
        <v>172</v>
      </c>
      <c r="F515" s="22" t="n">
        <v>4282</v>
      </c>
      <c r="G515" s="24" t="inlineStr">
        <is>
          <t>https://guiarsanrafael.com.ar/empresa/el-gringo-ferreteria/</t>
        </is>
      </c>
    </row>
    <row r="516">
      <c r="A516" s="19" t="n">
        <v>515</v>
      </c>
      <c r="B516" s="20" t="inlineStr">
        <is>
          <t>EL HOT Sandguchería</t>
        </is>
      </c>
      <c r="C516" s="14" t="inlineStr">
        <is>
          <t>Hamburguesas sanwicheria lomos comidas</t>
        </is>
      </c>
      <c r="D516" s="14" t="inlineStr">
        <is>
          <t>Hamburgueserias</t>
        </is>
      </c>
      <c r="E516" s="19" t="n">
        <v>31</v>
      </c>
      <c r="F516" s="19" t="n">
        <v>10906</v>
      </c>
      <c r="G516" s="21" t="inlineStr">
        <is>
          <t>https://guiarsanrafael.com.ar/empresa/el-hot-sandgucheria/</t>
        </is>
      </c>
    </row>
    <row r="517">
      <c r="A517" s="22" t="n">
        <v>516</v>
      </c>
      <c r="B517" s="23" t="inlineStr">
        <is>
          <t>EL INDALO Construcción en Seco</t>
        </is>
      </c>
      <c r="C517" s="12" t="inlineStr">
        <is>
          <t>Construccion en seco constructoras</t>
        </is>
      </c>
      <c r="D517" s="12" t="inlineStr">
        <is>
          <t>Aislantes 2</t>
        </is>
      </c>
      <c r="E517" s="22" t="n">
        <v>15</v>
      </c>
      <c r="F517" s="22" t="n">
        <v>12722</v>
      </c>
      <c r="G517" s="24" t="inlineStr">
        <is>
          <t>https://guiarsanrafael.com.ar/empresa/el-indalo-construccion-en-seco/</t>
        </is>
      </c>
    </row>
    <row r="518">
      <c r="A518" s="19" t="n">
        <v>517</v>
      </c>
      <c r="B518" s="20" t="inlineStr">
        <is>
          <t>EL MANGRULLO Salón de Eventos</t>
        </is>
      </c>
      <c r="C518" s="14" t="inlineStr">
        <is>
          <t>Eventos</t>
        </is>
      </c>
      <c r="D518" s="14" t="inlineStr">
        <is>
          <t>Eventos</t>
        </is>
      </c>
      <c r="E518" s="19" t="n">
        <v>88</v>
      </c>
      <c r="F518" s="19" t="n">
        <v>8027</v>
      </c>
      <c r="G518" s="21" t="inlineStr">
        <is>
          <t>https://guiarsanrafael.com.ar/empresa/el-mangrullo-salon-de-eventos/</t>
        </is>
      </c>
    </row>
    <row r="519">
      <c r="A519" s="22" t="n">
        <v>518</v>
      </c>
      <c r="B519" s="23" t="inlineStr">
        <is>
          <t>EL MORENO Byke and Services</t>
        </is>
      </c>
      <c r="C519" s="12" t="inlineStr">
        <is>
          <t>Bicicleterias</t>
        </is>
      </c>
      <c r="D519" s="12" t="inlineStr">
        <is>
          <t>Bicicleterias</t>
        </is>
      </c>
      <c r="E519" s="22" t="n">
        <v>26</v>
      </c>
      <c r="F519" s="22" t="n">
        <v>11613</v>
      </c>
      <c r="G519" s="24" t="inlineStr">
        <is>
          <t>https://guiarsanrafael.com.ar/empresa/el-moreno-byke-and-services/</t>
        </is>
      </c>
    </row>
    <row r="520">
      <c r="A520" s="19" t="n">
        <v>519</v>
      </c>
      <c r="B520" s="20" t="inlineStr">
        <is>
          <t>EL PARQUE Supermercado de Bebidas</t>
        </is>
      </c>
      <c r="C520" s="14" t="inlineStr">
        <is>
          <t>Regionales regaleria</t>
        </is>
      </c>
      <c r="D520" s="14" t="inlineStr">
        <is>
          <t>Tienda de bebidas</t>
        </is>
      </c>
      <c r="E520" s="19" t="n">
        <v>51</v>
      </c>
      <c r="F520" s="19" t="n">
        <v>9320</v>
      </c>
      <c r="G520" s="21" t="inlineStr">
        <is>
          <t>https://guiarsanrafael.com.ar/empresa/el-parque-supermercado-de-bebidas-2/</t>
        </is>
      </c>
    </row>
    <row r="521">
      <c r="A521" s="22" t="n">
        <v>520</v>
      </c>
      <c r="B521" s="23" t="inlineStr">
        <is>
          <t>EL PARQUE Supermercado de Bebidas</t>
        </is>
      </c>
      <c r="C521" s="12" t="inlineStr">
        <is>
          <t>Licoreria tienda de bebidas</t>
        </is>
      </c>
      <c r="D521" s="12" t="inlineStr">
        <is>
          <t>Licorerias</t>
        </is>
      </c>
      <c r="E521" s="22" t="n">
        <v>51</v>
      </c>
      <c r="F521" s="22" t="n">
        <v>9321</v>
      </c>
      <c r="G521" s="24" t="inlineStr">
        <is>
          <t>https://guiarsanrafael.com.ar/empresa/el-parque-supermercado-de-bebidas-3/</t>
        </is>
      </c>
    </row>
    <row r="522">
      <c r="A522" s="19" t="n">
        <v>521</v>
      </c>
      <c r="B522" s="20" t="inlineStr">
        <is>
          <t>EL PARQUE Supermercado de Bebidas</t>
        </is>
      </c>
      <c r="C522" s="14" t="inlineStr">
        <is>
          <t>Tinenda de bebidas vinotecas licores</t>
        </is>
      </c>
      <c r="D522" s="14" t="inlineStr">
        <is>
          <t>Licorerias</t>
        </is>
      </c>
      <c r="E522" s="19" t="n">
        <v>52</v>
      </c>
      <c r="F522" s="19" t="n">
        <v>9317</v>
      </c>
      <c r="G522" s="21" t="inlineStr">
        <is>
          <t>https://guiarsanrafael.com.ar/empresa/el-parque-supermercado-de-bebidas/</t>
        </is>
      </c>
    </row>
    <row r="523">
      <c r="A523" s="22" t="n">
        <v>522</v>
      </c>
      <c r="B523" s="23" t="inlineStr">
        <is>
          <t>El Patio Beer House</t>
        </is>
      </c>
      <c r="C523" s="12" t="inlineStr">
        <is>
          <t>Restaurantes parrilas</t>
        </is>
      </c>
      <c r="D523" s="12" t="inlineStr">
        <is>
          <t>Restaurantes</t>
        </is>
      </c>
      <c r="E523" s="22" t="n">
        <v>38</v>
      </c>
      <c r="F523" s="22" t="n">
        <v>10253</v>
      </c>
      <c r="G523" s="24" t="inlineStr">
        <is>
          <t>https://guiarsanrafael.com.ar/empresa/el-patio-beer-house/</t>
        </is>
      </c>
    </row>
    <row r="524">
      <c r="A524" s="19" t="n">
        <v>523</v>
      </c>
      <c r="B524" s="20" t="inlineStr">
        <is>
          <t>EL PELUCCA Polleria</t>
        </is>
      </c>
      <c r="C524" s="14" t="inlineStr">
        <is>
          <t>Polleria</t>
        </is>
      </c>
      <c r="D524" s="14" t="inlineStr">
        <is>
          <t>Almacen</t>
        </is>
      </c>
      <c r="E524" s="19" t="n">
        <v>33</v>
      </c>
      <c r="F524" s="19" t="n">
        <v>10672</v>
      </c>
      <c r="G524" s="21" t="inlineStr">
        <is>
          <t>https://guiarsanrafael.com.ar/empresa/el-pelucca-polleria/</t>
        </is>
      </c>
    </row>
    <row r="525">
      <c r="A525" s="22" t="n">
        <v>524</v>
      </c>
      <c r="B525" s="23" t="inlineStr">
        <is>
          <t>EL PINITO Helados Artesanales</t>
        </is>
      </c>
      <c r="C525" s="12" t="inlineStr">
        <is>
          <t>Heladerias postres</t>
        </is>
      </c>
      <c r="D525" s="12" t="inlineStr">
        <is>
          <t>Heladerias</t>
        </is>
      </c>
      <c r="E525" s="22" t="n">
        <v>138</v>
      </c>
      <c r="F525" s="22" t="n">
        <v>5781</v>
      </c>
      <c r="G525" s="24" t="inlineStr">
        <is>
          <t>https://guiarsanrafael.com.ar/empresa/el-pinito-helados-artesanales/</t>
        </is>
      </c>
    </row>
    <row r="526">
      <c r="A526" s="19" t="n">
        <v>525</v>
      </c>
      <c r="B526" s="20" t="inlineStr">
        <is>
          <t>EL POLLO de ORO</t>
        </is>
      </c>
      <c r="C526" s="14" t="inlineStr">
        <is>
          <t>Avicolas</t>
        </is>
      </c>
      <c r="D526" s="14" t="inlineStr">
        <is>
          <t>Avicolas</t>
        </is>
      </c>
      <c r="E526" s="19" t="n">
        <v>12</v>
      </c>
      <c r="F526" s="19" t="n">
        <v>13157</v>
      </c>
      <c r="G526" s="21" t="inlineStr">
        <is>
          <t>https://guiarsanrafael.com.ar/empresa/el-pollo-de-oro/</t>
        </is>
      </c>
    </row>
    <row r="527">
      <c r="A527" s="22" t="n">
        <v>526</v>
      </c>
      <c r="B527" s="23" t="inlineStr">
        <is>
          <t>EL RAPIDO MOTOS</t>
        </is>
      </c>
      <c r="C527" s="12" t="inlineStr">
        <is>
          <t>Mecanica de motos</t>
        </is>
      </c>
      <c r="D527" s="12" t="inlineStr">
        <is>
          <t>Mecanica de motos</t>
        </is>
      </c>
      <c r="E527" s="22" t="n">
        <v>9</v>
      </c>
      <c r="F527" s="22" t="n">
        <v>13842</v>
      </c>
      <c r="G527" s="24" t="inlineStr">
        <is>
          <t>https://guiarsanrafael.com.ar/empresa/el-rapido-motos/</t>
        </is>
      </c>
    </row>
    <row r="528">
      <c r="A528" s="19" t="n">
        <v>527</v>
      </c>
      <c r="B528" s="20" t="inlineStr">
        <is>
          <t>El Rincon de los Sabores</t>
        </is>
      </c>
      <c r="C528" s="14" t="inlineStr">
        <is>
          <t>Almacen natural</t>
        </is>
      </c>
      <c r="D528" s="14" t="inlineStr">
        <is>
          <t>Dieteticas</t>
        </is>
      </c>
      <c r="E528" s="19" t="n">
        <v>55</v>
      </c>
      <c r="F528" s="19" t="n">
        <v>9220</v>
      </c>
      <c r="G528" s="21" t="inlineStr">
        <is>
          <t>https://guiarsanrafael.com.ar/empresa/el-rincon-de-los-sabores/</t>
        </is>
      </c>
    </row>
    <row r="529">
      <c r="A529" s="22" t="n">
        <v>528</v>
      </c>
      <c r="B529" s="23" t="inlineStr">
        <is>
          <t>EL RINCON de los SAVORES</t>
        </is>
      </c>
      <c r="C529" s="12" t="inlineStr">
        <is>
          <t>Almacen natural</t>
        </is>
      </c>
      <c r="D529" s="12" t="inlineStr">
        <is>
          <t>Almacen natural</t>
        </is>
      </c>
      <c r="E529" s="22" t="n">
        <v>3</v>
      </c>
      <c r="F529" s="22" t="n">
        <v>14830</v>
      </c>
      <c r="G529" s="24" t="inlineStr">
        <is>
          <t>https://guiarsanrafael.com.ar/empresa/el-rincon-de-los-savores/</t>
        </is>
      </c>
    </row>
    <row r="530">
      <c r="A530" s="19" t="n">
        <v>529</v>
      </c>
      <c r="B530" s="20" t="inlineStr">
        <is>
          <t>EL TIO FENIX Librería</t>
        </is>
      </c>
      <c r="C530" s="14" t="inlineStr">
        <is>
          <t>Librerias</t>
        </is>
      </c>
      <c r="D530" s="14" t="inlineStr">
        <is>
          <t>Librerias</t>
        </is>
      </c>
      <c r="E530" s="19" t="n">
        <v>88</v>
      </c>
      <c r="F530" s="19" t="n">
        <v>8014</v>
      </c>
      <c r="G530" s="21" t="inlineStr">
        <is>
          <t>https://guiarsanrafael.com.ar/empresa/el-tio-fenix-libreria/</t>
        </is>
      </c>
    </row>
    <row r="531">
      <c r="A531" s="22" t="n">
        <v>530</v>
      </c>
      <c r="B531" s="23" t="inlineStr">
        <is>
          <t>EL VIEJO NARANJO</t>
        </is>
      </c>
      <c r="C531" s="12" t="inlineStr">
        <is>
          <t>Departamentos turisticos alquiler</t>
        </is>
      </c>
      <c r="D531" s="12" t="inlineStr">
        <is>
          <t>Alojamientos</t>
        </is>
      </c>
      <c r="E531" s="22" t="n">
        <v>60</v>
      </c>
      <c r="F531" s="22" t="n">
        <v>8889</v>
      </c>
      <c r="G531" s="24" t="inlineStr">
        <is>
          <t>https://guiarsanrafael.com.ar/empresa/el-viejo-naranjo/</t>
        </is>
      </c>
    </row>
    <row r="532">
      <c r="A532" s="19" t="n">
        <v>531</v>
      </c>
      <c r="B532" s="20" t="inlineStr">
        <is>
          <t>ELADIO GUIJARRO</t>
        </is>
      </c>
      <c r="C532" s="14" t="inlineStr">
        <is>
          <t>Bioquimicos laboratorio</t>
        </is>
      </c>
      <c r="D532" s="14" t="inlineStr">
        <is>
          <t>Bioquimicos</t>
        </is>
      </c>
      <c r="E532" s="19" t="n">
        <v>162</v>
      </c>
      <c r="F532" s="19" t="n">
        <v>5146</v>
      </c>
      <c r="G532" s="21" t="inlineStr">
        <is>
          <t>https://guiarsanrafael.com.ar/empresa/eladio-guijarro/</t>
        </is>
      </c>
    </row>
    <row r="533">
      <c r="A533" s="22" t="n">
        <v>532</v>
      </c>
      <c r="B533" s="23" t="inlineStr">
        <is>
          <t>ELECTRICIDAD SUR del AUTOMOTOR</t>
        </is>
      </c>
      <c r="C533" s="12" t="inlineStr">
        <is>
          <t>Diagnostico computarizado mecanica</t>
        </is>
      </c>
      <c r="D533" s="12" t="inlineStr">
        <is>
          <t>Diagnostico computarizado</t>
        </is>
      </c>
      <c r="E533" s="22" t="n">
        <v>28</v>
      </c>
      <c r="F533" s="22" t="n">
        <v>11324</v>
      </c>
      <c r="G533" s="24" t="inlineStr">
        <is>
          <t>https://guiarsanrafael.com.ar/empresa/electricidad-sur-del-automotor/</t>
        </is>
      </c>
    </row>
    <row r="534">
      <c r="A534" s="19" t="n">
        <v>533</v>
      </c>
      <c r="B534" s="20" t="inlineStr">
        <is>
          <t>ELECTRICIDAD VILLARRUEL</t>
        </is>
      </c>
      <c r="C534" s="14" t="inlineStr">
        <is>
          <t>Electricidad iluminacion</t>
        </is>
      </c>
      <c r="D534" s="14" t="inlineStr">
        <is>
          <t>Electricidad</t>
        </is>
      </c>
      <c r="E534" s="19" t="n">
        <v>36</v>
      </c>
      <c r="F534" s="19" t="n">
        <v>10283</v>
      </c>
      <c r="G534" s="21" t="inlineStr">
        <is>
          <t>https://guiarsanrafael.com.ar/empresa/electricidad-villarruel/</t>
        </is>
      </c>
    </row>
    <row r="535">
      <c r="A535" s="22" t="n">
        <v>534</v>
      </c>
      <c r="B535" s="23" t="inlineStr">
        <is>
          <t>Eliana Caballero</t>
        </is>
      </c>
      <c r="C535" s="12" t="inlineStr">
        <is>
          <t>Kinesiologia y fisioterapia</t>
        </is>
      </c>
      <c r="D535" s="12" t="inlineStr">
        <is>
          <t>Kinesiologia y fisioterapia</t>
        </is>
      </c>
      <c r="E535" s="22" t="n">
        <v>153</v>
      </c>
      <c r="F535" s="22" t="n">
        <v>5377</v>
      </c>
      <c r="G535" s="24" t="inlineStr">
        <is>
          <t>https://guiarsanrafael.com.ar/empresa/eliana-caballero/</t>
        </is>
      </c>
    </row>
    <row r="536">
      <c r="A536" s="19" t="n">
        <v>535</v>
      </c>
      <c r="B536" s="20" t="inlineStr">
        <is>
          <t>Eliana Molina</t>
        </is>
      </c>
      <c r="C536" s="14" t="inlineStr">
        <is>
          <t>Ortopedagogia</t>
        </is>
      </c>
      <c r="D536" s="14" t="inlineStr">
        <is>
          <t>Ortopedagogia</t>
        </is>
      </c>
      <c r="E536" s="19" t="n">
        <v>147</v>
      </c>
      <c r="F536" s="19" t="n">
        <v>5459</v>
      </c>
      <c r="G536" s="21" t="inlineStr">
        <is>
          <t>https://guiarsanrafael.com.ar/empresa/eliana-molina/</t>
        </is>
      </c>
    </row>
    <row r="537">
      <c r="A537" s="22" t="n">
        <v>536</v>
      </c>
      <c r="B537" s="23" t="inlineStr">
        <is>
          <t>Elina Greco</t>
        </is>
      </c>
      <c r="C537" s="12" t="inlineStr">
        <is>
          <t>Kinesiologia y fisioterapia</t>
        </is>
      </c>
      <c r="D537" s="12" t="inlineStr">
        <is>
          <t>Kinesiologia y fisioterapia</t>
        </is>
      </c>
      <c r="E537" s="22" t="n">
        <v>152</v>
      </c>
      <c r="F537" s="22" t="n">
        <v>5391</v>
      </c>
      <c r="G537" s="24" t="inlineStr">
        <is>
          <t>https://guiarsanrafael.com.ar/empresa/elina-greco/</t>
        </is>
      </c>
    </row>
    <row r="538">
      <c r="A538" s="19" t="n">
        <v>537</v>
      </c>
      <c r="B538" s="20" t="inlineStr">
        <is>
          <t>Elysée Perfumería</t>
        </is>
      </c>
      <c r="C538" s="14" t="inlineStr">
        <is>
          <t>Perfrumerias cosmeticos cosmetica</t>
        </is>
      </c>
      <c r="D538" s="14" t="inlineStr">
        <is>
          <t>Cosmetica perfumeria</t>
        </is>
      </c>
      <c r="E538" s="19" t="n">
        <v>66</v>
      </c>
      <c r="F538" s="19" t="n">
        <v>8623</v>
      </c>
      <c r="G538" s="21" t="inlineStr">
        <is>
          <t>https://guiarsanrafael.com.ar/empresa/elysee-perfumeria/</t>
        </is>
      </c>
    </row>
    <row r="539">
      <c r="A539" s="22" t="n">
        <v>538</v>
      </c>
      <c r="B539" s="23" t="inlineStr">
        <is>
          <t>EMA 2 Frutas y Verduras</t>
        </is>
      </c>
      <c r="C539" s="12" t="inlineStr">
        <is>
          <t>Verdulerias</t>
        </is>
      </c>
      <c r="D539" s="12" t="inlineStr">
        <is>
          <t>Verdulerias</t>
        </is>
      </c>
      <c r="E539" s="22" t="n">
        <v>7</v>
      </c>
      <c r="F539" s="22" t="n">
        <v>14147</v>
      </c>
      <c r="G539" s="24" t="inlineStr">
        <is>
          <t>https://guiarsanrafael.com.ar/empresa/ema-2-frutas-y-verduras/</t>
        </is>
      </c>
    </row>
    <row r="540">
      <c r="A540" s="19" t="n">
        <v>539</v>
      </c>
      <c r="B540" s="20" t="inlineStr">
        <is>
          <t>EMA Frutas y Verduras</t>
        </is>
      </c>
      <c r="C540" s="14" t="inlineStr">
        <is>
          <t>Verdulerias</t>
        </is>
      </c>
      <c r="D540" s="14" t="inlineStr">
        <is>
          <t>Verdulerias</t>
        </is>
      </c>
      <c r="E540" s="19" t="n">
        <v>7</v>
      </c>
      <c r="F540" s="19" t="n">
        <v>14145</v>
      </c>
      <c r="G540" s="21" t="inlineStr">
        <is>
          <t>https://guiarsanrafael.com.ar/empresa/ema-frutas-y-verduras/</t>
        </is>
      </c>
    </row>
    <row r="541">
      <c r="A541" s="22" t="n">
        <v>540</v>
      </c>
      <c r="B541" s="23" t="inlineStr">
        <is>
          <t>EMANUEL CASTRO</t>
        </is>
      </c>
      <c r="C541" s="12" t="inlineStr">
        <is>
          <t>Centro de rehabilitacion</t>
        </is>
      </c>
      <c r="D541" s="12" t="inlineStr">
        <is>
          <t>Centro de rehabilitacion</t>
        </is>
      </c>
      <c r="E541" s="22" t="n">
        <v>96</v>
      </c>
      <c r="F541" s="22" t="n">
        <v>7603</v>
      </c>
      <c r="G541" s="24" t="inlineStr">
        <is>
          <t>https://guiarsanrafael.com.ar/empresa/emanuel-castro/</t>
        </is>
      </c>
    </row>
    <row r="542">
      <c r="A542" s="19" t="n">
        <v>541</v>
      </c>
      <c r="B542" s="20" t="inlineStr">
        <is>
          <t>EMANUEL MARTINEZ</t>
        </is>
      </c>
      <c r="C542" s="14" t="inlineStr">
        <is>
          <t>Abogados abogadas estudios juridicos</t>
        </is>
      </c>
      <c r="D542" s="14" t="inlineStr">
        <is>
          <t>Abogados</t>
        </is>
      </c>
      <c r="E542" s="19" t="n">
        <v>41</v>
      </c>
      <c r="F542" s="19" t="n">
        <v>9986</v>
      </c>
      <c r="G542" s="21" t="inlineStr">
        <is>
          <t>https://guiarsanrafael.com.ar/empresa/emanuel-martinez/</t>
        </is>
      </c>
    </row>
    <row r="543">
      <c r="A543" s="22" t="n">
        <v>542</v>
      </c>
      <c r="B543" s="23" t="inlineStr">
        <is>
          <t>Embragues Margui</t>
        </is>
      </c>
      <c r="C543" s="12" t="inlineStr">
        <is>
          <t>Repuestos del automotor autopartes</t>
        </is>
      </c>
      <c r="D543" s="12" t="inlineStr">
        <is>
          <t>Repuestos del automotor</t>
        </is>
      </c>
      <c r="E543" s="22" t="n">
        <v>72</v>
      </c>
      <c r="F543" s="22" t="n">
        <v>8438</v>
      </c>
      <c r="G543" s="24" t="inlineStr">
        <is>
          <t>https://guiarsanrafael.com.ar/empresa/embragues-margui/</t>
        </is>
      </c>
    </row>
    <row r="544">
      <c r="A544" s="19" t="n">
        <v>543</v>
      </c>
      <c r="B544" s="20" t="inlineStr">
        <is>
          <t>EMILIA PATURLANNE</t>
        </is>
      </c>
      <c r="C544" s="14" t="inlineStr">
        <is>
          <t>Psicologia</t>
        </is>
      </c>
      <c r="D544" s="14" t="inlineStr">
        <is>
          <t>Psicologia</t>
        </is>
      </c>
      <c r="E544" s="19" t="n">
        <v>121</v>
      </c>
      <c r="F544" s="19" t="n">
        <v>6974</v>
      </c>
      <c r="G544" s="21" t="inlineStr">
        <is>
          <t>https://guiarsanrafael.com.ar/empresa/emilia-paturlanne/</t>
        </is>
      </c>
    </row>
    <row r="545">
      <c r="A545" s="22" t="n">
        <v>544</v>
      </c>
      <c r="B545" s="23" t="inlineStr">
        <is>
          <t>Emiliano Garcia Coloccini</t>
        </is>
      </c>
      <c r="C545" s="12" t="inlineStr">
        <is>
          <t>Traumatologia y ortopedia</t>
        </is>
      </c>
      <c r="D545" s="12" t="inlineStr">
        <is>
          <t>Traumatologia</t>
        </is>
      </c>
      <c r="E545" s="22" t="n">
        <v>142</v>
      </c>
      <c r="F545" s="22" t="n">
        <v>5536</v>
      </c>
      <c r="G545" s="24" t="inlineStr">
        <is>
          <t>https://guiarsanrafael.com.ar/empresa/emiliano-garcia-coloccini/</t>
        </is>
      </c>
    </row>
    <row r="546">
      <c r="A546" s="19" t="n">
        <v>545</v>
      </c>
      <c r="B546" s="20" t="inlineStr">
        <is>
          <t>EMILIANO LAFARGUE PRADOS</t>
        </is>
      </c>
      <c r="C546" s="14" t="inlineStr">
        <is>
          <t>Cardiologia medico cardiologo</t>
        </is>
      </c>
      <c r="D546" s="14" t="inlineStr">
        <is>
          <t>Cardiologia</t>
        </is>
      </c>
      <c r="E546" s="19" t="n">
        <v>164</v>
      </c>
      <c r="F546" s="19" t="n">
        <v>5051</v>
      </c>
      <c r="G546" s="21" t="inlineStr">
        <is>
          <t>https://guiarsanrafael.com.ar/empresa/emiliano-lafargue-prados/</t>
        </is>
      </c>
    </row>
    <row r="547">
      <c r="A547" s="22" t="n">
        <v>546</v>
      </c>
      <c r="B547" s="23" t="inlineStr">
        <is>
          <t>EMILIANO SOSA PONS</t>
        </is>
      </c>
      <c r="C547" s="12" t="inlineStr">
        <is>
          <t>Odontologia</t>
        </is>
      </c>
      <c r="D547" s="12" t="inlineStr">
        <is>
          <t>Odontologia</t>
        </is>
      </c>
      <c r="E547" s="22" t="n">
        <v>126</v>
      </c>
      <c r="F547" s="22" t="n">
        <v>6628</v>
      </c>
      <c r="G547" s="24" t="inlineStr">
        <is>
          <t>https://guiarsanrafael.com.ar/empresa/emiliano-sosa-pons/</t>
        </is>
      </c>
    </row>
    <row r="548">
      <c r="A548" s="19" t="n">
        <v>547</v>
      </c>
      <c r="B548" s="20" t="inlineStr">
        <is>
          <t>EMILIO RAMOS Aromas &amp; Distribuidora</t>
        </is>
      </c>
      <c r="C548" s="14" t="inlineStr">
        <is>
          <t>Cosmetica cosmetologia cosmetologa cosmiatra</t>
        </is>
      </c>
      <c r="D548" s="14" t="inlineStr">
        <is>
          <t>Cosmetica perfumeria</t>
        </is>
      </c>
      <c r="E548" s="19" t="n">
        <v>21</v>
      </c>
      <c r="F548" s="19" t="n">
        <v>12106</v>
      </c>
      <c r="G548" s="21" t="inlineStr">
        <is>
          <t>https://guiarsanrafael.com.ar/empresa/emilio-ramos-aromas-distribuidora/</t>
        </is>
      </c>
    </row>
    <row r="549">
      <c r="A549" s="22" t="n">
        <v>548</v>
      </c>
      <c r="B549" s="23" t="inlineStr">
        <is>
          <t>EN NUESTRA SALSA Pastalinda</t>
        </is>
      </c>
      <c r="C549" s="12" t="inlineStr">
        <is>
          <t>Fabrica de pastas</t>
        </is>
      </c>
      <c r="D549" s="12" t="inlineStr">
        <is>
          <t>Fabrica de pastas</t>
        </is>
      </c>
      <c r="E549" s="22" t="n">
        <v>2</v>
      </c>
      <c r="F549" s="22" t="n">
        <v>14921</v>
      </c>
      <c r="G549" s="24" t="inlineStr">
        <is>
          <t>https://guiarsanrafael.com.ar/empresa/en-nuestra-salsa-pastalinda/</t>
        </is>
      </c>
    </row>
    <row r="550">
      <c r="A550" s="19" t="n">
        <v>549</v>
      </c>
      <c r="B550" s="20" t="inlineStr">
        <is>
          <t>ENCANTO FLORAL Florería</t>
        </is>
      </c>
      <c r="C550" s="14" t="inlineStr">
        <is>
          <t>Decoracion</t>
        </is>
      </c>
      <c r="D550" s="14" t="inlineStr">
        <is>
          <t>Decoracion</t>
        </is>
      </c>
      <c r="E550" s="19" t="n">
        <v>10</v>
      </c>
      <c r="F550" s="19" t="n">
        <v>13481</v>
      </c>
      <c r="G550" s="21" t="inlineStr">
        <is>
          <t>https://guiarsanrafael.com.ar/empresa/encanto-floral/</t>
        </is>
      </c>
    </row>
    <row r="551">
      <c r="A551" s="22" t="n">
        <v>550</v>
      </c>
      <c r="B551" s="23" t="inlineStr">
        <is>
          <t>Encinas Gustavo Elbio</t>
        </is>
      </c>
      <c r="C551" s="12" t="inlineStr">
        <is>
          <t>Abogados abogadas estudios juridicos</t>
        </is>
      </c>
      <c r="D551" s="12" t="inlineStr">
        <is>
          <t>Abogados</t>
        </is>
      </c>
      <c r="E551" s="22" t="n">
        <v>118</v>
      </c>
      <c r="F551" s="22" t="n">
        <v>7124</v>
      </c>
      <c r="G551" s="24" t="inlineStr">
        <is>
          <t>https://guiarsanrafael.com.ar/empresa/encinas-gustavo-elbio/</t>
        </is>
      </c>
    </row>
    <row r="552">
      <c r="A552" s="19" t="n">
        <v>551</v>
      </c>
      <c r="B552" s="20" t="inlineStr">
        <is>
          <t>Enfermería María Inés</t>
        </is>
      </c>
      <c r="C552" s="14" t="inlineStr">
        <is>
          <t>Enfermerias</t>
        </is>
      </c>
      <c r="D552" s="14" t="inlineStr">
        <is>
          <t>Enfermerias</t>
        </is>
      </c>
      <c r="E552" s="19" t="n">
        <v>10</v>
      </c>
      <c r="F552" s="19" t="n">
        <v>13436</v>
      </c>
      <c r="G552" s="21" t="inlineStr">
        <is>
          <t>https://guiarsanrafael.com.ar/empresa/enfermeria-maria-ines/</t>
        </is>
      </c>
    </row>
    <row r="553">
      <c r="A553" s="22" t="n">
        <v>552</v>
      </c>
      <c r="B553" s="23" t="inlineStr">
        <is>
          <t>ENOTRIA Tienda de Bebidas</t>
        </is>
      </c>
      <c r="C553" s="12" t="inlineStr">
        <is>
          <t>Tinenda de bebidas vinotecas licores</t>
        </is>
      </c>
      <c r="D553" s="12" t="inlineStr">
        <is>
          <t>Tienda de bebidas</t>
        </is>
      </c>
      <c r="E553" s="22" t="n">
        <v>51</v>
      </c>
      <c r="F553" s="22" t="n">
        <v>9315</v>
      </c>
      <c r="G553" s="24" t="inlineStr">
        <is>
          <t>https://guiarsanrafael.com.ar/empresa/enotria-tienda-de-bebidas/</t>
        </is>
      </c>
    </row>
    <row r="554">
      <c r="A554" s="19" t="n">
        <v>553</v>
      </c>
      <c r="B554" s="20" t="inlineStr">
        <is>
          <t>ENRRIQUE ÁLVAREZ</t>
        </is>
      </c>
      <c r="C554" s="14" t="inlineStr">
        <is>
          <t>Kinesiologia y fisioterapia</t>
        </is>
      </c>
      <c r="D554" s="14" t="inlineStr">
        <is>
          <t>Centro de rehabilitacion</t>
        </is>
      </c>
      <c r="E554" s="19" t="n">
        <v>165</v>
      </c>
      <c r="F554" s="19" t="n">
        <v>5012</v>
      </c>
      <c r="G554" s="21" t="inlineStr">
        <is>
          <t>https://guiarsanrafael.com.ar/empresa/enrrique-alvarez/</t>
        </is>
      </c>
    </row>
    <row r="555">
      <c r="A555" s="22" t="n">
        <v>554</v>
      </c>
      <c r="B555" s="23" t="inlineStr">
        <is>
          <t>ENTRE DOS Alfajores Premiun</t>
        </is>
      </c>
      <c r="C555" s="12" t="inlineStr">
        <is>
          <t>Chocolateria</t>
        </is>
      </c>
      <c r="D555" s="12" t="inlineStr">
        <is>
          <t>Chocolateria</t>
        </is>
      </c>
      <c r="E555" s="22" t="n">
        <v>7</v>
      </c>
      <c r="F555" s="22" t="n">
        <v>14177</v>
      </c>
      <c r="G555" s="24" t="inlineStr">
        <is>
          <t>https://guiarsanrafael.com.ar/empresa/entre-dos-alfajores-premiun/</t>
        </is>
      </c>
    </row>
    <row r="556">
      <c r="A556" s="19" t="n">
        <v>555</v>
      </c>
      <c r="B556" s="20" t="inlineStr">
        <is>
          <t>EPIKO Café Restobar</t>
        </is>
      </c>
      <c r="C556" s="14" t="inlineStr">
        <is>
          <t>Bares cocteleria</t>
        </is>
      </c>
      <c r="D556" s="14" t="inlineStr">
        <is>
          <t>Bares</t>
        </is>
      </c>
      <c r="E556" s="19" t="n">
        <v>38</v>
      </c>
      <c r="F556" s="19" t="n">
        <v>10222</v>
      </c>
      <c r="G556" s="21" t="inlineStr">
        <is>
          <t>https://guiarsanrafael.com.ar/empresa/epiko-cafe-restobar/</t>
        </is>
      </c>
    </row>
    <row r="557">
      <c r="A557" s="22" t="n">
        <v>556</v>
      </c>
      <c r="B557" s="23" t="inlineStr">
        <is>
          <t>EPIKO Casa de Comidas</t>
        </is>
      </c>
      <c r="C557" s="12" t="inlineStr">
        <is>
          <t>Casa de comidas rotiseria viandas</t>
        </is>
      </c>
      <c r="D557" s="12" t="inlineStr">
        <is>
          <t>Casa de comidas</t>
        </is>
      </c>
      <c r="E557" s="22" t="n">
        <v>38</v>
      </c>
      <c r="F557" s="22" t="n">
        <v>10223</v>
      </c>
      <c r="G557" s="24" t="inlineStr">
        <is>
          <t>https://guiarsanrafael.com.ar/empresa/epiko-casa-de-comidas/</t>
        </is>
      </c>
    </row>
    <row r="558">
      <c r="A558" s="19" t="n">
        <v>557</v>
      </c>
      <c r="B558" s="20" t="inlineStr">
        <is>
          <t>Eraso Ana Elisa</t>
        </is>
      </c>
      <c r="C558" s="14" t="inlineStr">
        <is>
          <t>Abogados abogadas estudios juridicos</t>
        </is>
      </c>
      <c r="D558" s="14" t="inlineStr">
        <is>
          <t>Abogadas</t>
        </is>
      </c>
      <c r="E558" s="19" t="n">
        <v>111</v>
      </c>
      <c r="F558" s="19" t="n">
        <v>7211</v>
      </c>
      <c r="G558" s="21" t="inlineStr">
        <is>
          <t>https://guiarsanrafael.com.ar/empresa/eraso-ana-elisa/</t>
        </is>
      </c>
    </row>
    <row r="559">
      <c r="A559" s="22" t="n">
        <v>558</v>
      </c>
      <c r="B559" s="23" t="inlineStr">
        <is>
          <t>Erika Gabriela Schulz</t>
        </is>
      </c>
      <c r="C559" s="12" t="inlineStr">
        <is>
          <t>Ginecologia y obsterticia</t>
        </is>
      </c>
      <c r="D559" s="12" t="inlineStr">
        <is>
          <t>Ginecologia y obsterticia</t>
        </is>
      </c>
      <c r="E559" s="22" t="n">
        <v>155</v>
      </c>
      <c r="F559" s="22" t="n">
        <v>5342</v>
      </c>
      <c r="G559" s="24" t="inlineStr">
        <is>
          <t>https://guiarsanrafael.com.ar/empresa/erika-gabriela-schulz/</t>
        </is>
      </c>
    </row>
    <row r="560">
      <c r="A560" s="19" t="n">
        <v>559</v>
      </c>
      <c r="B560" s="20" t="inlineStr">
        <is>
          <t>ESCAPES CUYO</t>
        </is>
      </c>
      <c r="C560" s="14" t="inlineStr">
        <is>
          <t>Autopartes</t>
        </is>
      </c>
      <c r="D560" s="14" t="inlineStr">
        <is>
          <t>Autopartes</t>
        </is>
      </c>
      <c r="E560" s="19" t="n">
        <v>39</v>
      </c>
      <c r="F560" s="19" t="n">
        <v>10164</v>
      </c>
      <c r="G560" s="21" t="inlineStr">
        <is>
          <t>https://guiarsanrafael.com.ar/empresa/escapes-cuyo/</t>
        </is>
      </c>
    </row>
    <row r="561">
      <c r="A561" s="22" t="n">
        <v>560</v>
      </c>
      <c r="B561" s="23" t="inlineStr">
        <is>
          <t>ESPINA Belkis Melina</t>
        </is>
      </c>
      <c r="C561" s="12" t="inlineStr">
        <is>
          <t>Escribanias escribanos escribanas mandatario mandataria notarios notarias</t>
        </is>
      </c>
      <c r="D561" s="12" t="inlineStr">
        <is>
          <t>Escribanas</t>
        </is>
      </c>
      <c r="E561" s="22" t="n">
        <v>84</v>
      </c>
      <c r="F561" s="22" t="n">
        <v>8177</v>
      </c>
      <c r="G561" s="24" t="inlineStr">
        <is>
          <t>https://guiarsanrafael.com.ar/empresa/espina-belkis-melina/</t>
        </is>
      </c>
    </row>
    <row r="562">
      <c r="A562" s="19" t="n">
        <v>561</v>
      </c>
      <c r="B562" s="20" t="inlineStr">
        <is>
          <t>ESSENCE Estética Integral</t>
        </is>
      </c>
      <c r="C562" s="14" t="inlineStr">
        <is>
          <t>Belleza de pies y manos unas nails</t>
        </is>
      </c>
      <c r="D562" s="14" t="inlineStr">
        <is>
          <t>Centro de estetica</t>
        </is>
      </c>
      <c r="E562" s="19" t="n">
        <v>170</v>
      </c>
      <c r="F562" s="19" t="n">
        <v>4504</v>
      </c>
      <c r="G562" s="21" t="inlineStr">
        <is>
          <t>https://guiarsanrafael.com.ar/empresa/essence-estetica-integral/</t>
        </is>
      </c>
    </row>
    <row r="563">
      <c r="A563" s="22" t="n">
        <v>562</v>
      </c>
      <c r="B563" s="23" t="inlineStr">
        <is>
          <t>ESSENCIA de LUNA</t>
        </is>
      </c>
      <c r="C563" s="12" t="inlineStr">
        <is>
          <t>Centro de estetica</t>
        </is>
      </c>
      <c r="D563" s="12" t="inlineStr">
        <is>
          <t>Centro de estetica</t>
        </is>
      </c>
      <c r="E563" s="22" t="n">
        <v>23</v>
      </c>
      <c r="F563" s="22" t="n">
        <v>11935</v>
      </c>
      <c r="G563" s="24" t="inlineStr">
        <is>
          <t>https://guiarsanrafael.com.ar/empresa/essencia-de-luna-stella/</t>
        </is>
      </c>
    </row>
    <row r="564">
      <c r="A564" s="19" t="n">
        <v>563</v>
      </c>
      <c r="B564" s="20" t="inlineStr">
        <is>
          <t>Esteban Villalón</t>
        </is>
      </c>
      <c r="C564" s="14" t="inlineStr">
        <is>
          <t>Odontologia</t>
        </is>
      </c>
      <c r="D564" s="14" t="inlineStr">
        <is>
          <t>Odontologia</t>
        </is>
      </c>
      <c r="E564" s="19" t="n">
        <v>99</v>
      </c>
      <c r="F564" s="19" t="n">
        <v>7472</v>
      </c>
      <c r="G564" s="21" t="inlineStr">
        <is>
          <t>https://guiarsanrafael.com.ar/empresa/esteban-villalon/</t>
        </is>
      </c>
    </row>
    <row r="565">
      <c r="A565" s="22" t="n">
        <v>564</v>
      </c>
      <c r="B565" s="23" t="inlineStr">
        <is>
          <t>ESTELA AHUMADA Inmobiliaria</t>
        </is>
      </c>
      <c r="C565" s="12" t="inlineStr">
        <is>
          <t>Administraciones alquileres inmobiliarias</t>
        </is>
      </c>
      <c r="D565" s="12" t="inlineStr">
        <is>
          <t>Administraciones</t>
        </is>
      </c>
      <c r="E565" s="22" t="n">
        <v>23</v>
      </c>
      <c r="F565" s="22" t="n">
        <v>11905</v>
      </c>
      <c r="G565" s="24" t="inlineStr">
        <is>
          <t>https://guiarsanrafael.com.ar/empresa/estela-ahumada-inmobiliaria/</t>
        </is>
      </c>
    </row>
    <row r="566">
      <c r="A566" s="19" t="n">
        <v>565</v>
      </c>
      <c r="B566" s="20" t="inlineStr">
        <is>
          <t>ESTETICA Y TERAPIAS</t>
        </is>
      </c>
      <c r="C566" s="14" t="inlineStr">
        <is>
          <t>(sin categoría)</t>
        </is>
      </c>
      <c r="D566" s="14" t="inlineStr">
        <is>
          <t>(sin ubicación)</t>
        </is>
      </c>
      <c r="E566" s="19" t="n">
        <v>32</v>
      </c>
      <c r="F566" s="19" t="n">
        <v>10770</v>
      </c>
      <c r="G566" s="21" t="inlineStr">
        <is>
          <t>https://guiarsanrafael.com.ar/empresa/?type=ESTETICA%20Y%20TERAPIAS</t>
        </is>
      </c>
    </row>
    <row r="567">
      <c r="A567" s="22" t="n">
        <v>566</v>
      </c>
      <c r="B567" s="23" t="inlineStr">
        <is>
          <t>ESTILO APART</t>
        </is>
      </c>
      <c r="C567" s="12" t="inlineStr">
        <is>
          <t>Cabanas alquiler</t>
        </is>
      </c>
      <c r="D567" s="12" t="inlineStr">
        <is>
          <t>Complejos turisticos</t>
        </is>
      </c>
      <c r="E567" s="22" t="n">
        <v>60</v>
      </c>
      <c r="F567" s="22" t="n">
        <v>8848</v>
      </c>
      <c r="G567" s="24" t="inlineStr">
        <is>
          <t>https://guiarsanrafael.com.ar/empresa/estilo-apart/</t>
        </is>
      </c>
    </row>
    <row r="568">
      <c r="A568" s="19" t="n">
        <v>567</v>
      </c>
      <c r="B568" s="20" t="inlineStr">
        <is>
          <t>ESTÉTICA LÁSER San Rafael</t>
        </is>
      </c>
      <c r="C568" s="14" t="inlineStr">
        <is>
          <t>Centro de estetica</t>
        </is>
      </c>
      <c r="D568" s="14" t="inlineStr">
        <is>
          <t>Centro de estetica</t>
        </is>
      </c>
      <c r="E568" s="19" t="n">
        <v>168</v>
      </c>
      <c r="F568" s="19" t="n">
        <v>4755</v>
      </c>
      <c r="G568" s="21" t="inlineStr">
        <is>
          <t>https://guiarsanrafael.com.ar/empresa/estetica-laser-san-rafael/</t>
        </is>
      </c>
    </row>
    <row r="569">
      <c r="A569" s="22" t="n">
        <v>568</v>
      </c>
      <c r="B569" s="23" t="inlineStr">
        <is>
          <t>EVANGELINA PICCO</t>
        </is>
      </c>
      <c r="C569" s="12" t="inlineStr">
        <is>
          <t>Endodoncia</t>
        </is>
      </c>
      <c r="D569" s="12" t="inlineStr">
        <is>
          <t>Endodoncia</t>
        </is>
      </c>
      <c r="E569" s="22" t="n">
        <v>28</v>
      </c>
      <c r="F569" s="22" t="n">
        <v>11283</v>
      </c>
      <c r="G569" s="24" t="inlineStr">
        <is>
          <t>https://guiarsanrafael.com.ar/empresa/evangelina-picco/</t>
        </is>
      </c>
    </row>
    <row r="570">
      <c r="A570" s="19" t="n">
        <v>569</v>
      </c>
      <c r="B570" s="20" t="inlineStr">
        <is>
          <t>EVOLUTION CELL</t>
        </is>
      </c>
      <c r="C570" s="14" t="inlineStr">
        <is>
          <t>Accesorios de telefonia celular</t>
        </is>
      </c>
      <c r="D570" s="14" t="inlineStr">
        <is>
          <t>Servicio tecnico</t>
        </is>
      </c>
      <c r="E570" s="19" t="n">
        <v>128</v>
      </c>
      <c r="F570" s="19" t="n">
        <v>6477</v>
      </c>
      <c r="G570" s="21" t="inlineStr">
        <is>
          <t>https://guiarsanrafael.com.ar/empresa/evolution-cell/</t>
        </is>
      </c>
    </row>
    <row r="571">
      <c r="A571" s="22" t="n">
        <v>570</v>
      </c>
      <c r="B571" s="23" t="inlineStr">
        <is>
          <t>EXEQUIEL LAMAS Refrigeración</t>
        </is>
      </c>
      <c r="C571" s="12" t="inlineStr">
        <is>
          <t>Aire acondicionado</t>
        </is>
      </c>
      <c r="D571" s="12" t="inlineStr">
        <is>
          <t>Aire acondicionado</t>
        </is>
      </c>
      <c r="E571" s="22" t="n">
        <v>4</v>
      </c>
      <c r="F571" s="22" t="n">
        <v>14696</v>
      </c>
      <c r="G571" s="24" t="inlineStr">
        <is>
          <t>https://guiarsanrafael.com.ar/empresa/14696/</t>
        </is>
      </c>
    </row>
    <row r="572">
      <c r="A572" s="19" t="n">
        <v>571</v>
      </c>
      <c r="B572" s="20" t="inlineStr">
        <is>
          <t>EXPRESO SENDEROS</t>
        </is>
      </c>
      <c r="C572" s="14" t="inlineStr">
        <is>
          <t>Expresos transporte encomiendas</t>
        </is>
      </c>
      <c r="D572" s="14" t="inlineStr">
        <is>
          <t>Expresos</t>
        </is>
      </c>
      <c r="E572" s="19" t="n">
        <v>1</v>
      </c>
      <c r="F572" s="19" t="n">
        <v>15109</v>
      </c>
      <c r="G572" s="21" t="inlineStr">
        <is>
          <t>https://guiarsanrafael.com.ar/empresa/expreso-senderos/</t>
        </is>
      </c>
    </row>
    <row r="573">
      <c r="A573" s="22" t="n">
        <v>572</v>
      </c>
      <c r="B573" s="23" t="inlineStr">
        <is>
          <t>EXTREMO AVENTURA TURISMO</t>
        </is>
      </c>
      <c r="C573" s="12" t="inlineStr">
        <is>
          <t>Agencia de viajes</t>
        </is>
      </c>
      <c r="D573" s="12" t="inlineStr">
        <is>
          <t>Agencias de viajes</t>
        </is>
      </c>
      <c r="E573" s="22" t="n">
        <v>32</v>
      </c>
      <c r="F573" s="22" t="n">
        <v>9429</v>
      </c>
      <c r="G573" s="24" t="inlineStr">
        <is>
          <t>https://guiarsanrafael.com.ar/empresa/extremo-aventura-turismo/</t>
        </is>
      </c>
    </row>
    <row r="574">
      <c r="A574" s="19" t="n">
        <v>573</v>
      </c>
      <c r="B574" s="20" t="inlineStr">
        <is>
          <t>EZEQUIEL GIMENEZ</t>
        </is>
      </c>
      <c r="C574" s="14" t="inlineStr">
        <is>
          <t>Kinesiologia y fisioterapia</t>
        </is>
      </c>
      <c r="D574" s="14" t="inlineStr">
        <is>
          <t>Kinesiologia y fisioterapia</t>
        </is>
      </c>
      <c r="E574" s="19" t="n">
        <v>131</v>
      </c>
      <c r="F574" s="19" t="n">
        <v>6305</v>
      </c>
      <c r="G574" s="21" t="inlineStr">
        <is>
          <t>https://guiarsanrafael.com.ar/empresa/ezequiel-gimenez/</t>
        </is>
      </c>
    </row>
    <row r="575">
      <c r="A575" s="22" t="n">
        <v>574</v>
      </c>
      <c r="B575" s="23" t="inlineStr">
        <is>
          <t>FABIAN FERREIRA</t>
        </is>
      </c>
      <c r="C575" s="12" t="inlineStr">
        <is>
          <t>Ecografias</t>
        </is>
      </c>
      <c r="D575" s="12" t="inlineStr">
        <is>
          <t>Ginecologia y obsterticia</t>
        </is>
      </c>
      <c r="E575" s="22" t="n">
        <v>130</v>
      </c>
      <c r="F575" s="22" t="n">
        <v>6355</v>
      </c>
      <c r="G575" s="24" t="inlineStr">
        <is>
          <t>https://guiarsanrafael.com.ar/empresa/fabian-ferreira/</t>
        </is>
      </c>
    </row>
    <row r="576">
      <c r="A576" s="19" t="n">
        <v>575</v>
      </c>
      <c r="B576" s="20" t="inlineStr">
        <is>
          <t>FABIAN MUÑOZ</t>
        </is>
      </c>
      <c r="C576" s="14" t="inlineStr">
        <is>
          <t>Clinica medica</t>
        </is>
      </c>
      <c r="D576" s="14" t="inlineStr">
        <is>
          <t>Clinica medica</t>
        </is>
      </c>
      <c r="E576" s="19" t="n">
        <v>130</v>
      </c>
      <c r="F576" s="19" t="n">
        <v>6348</v>
      </c>
      <c r="G576" s="21" t="inlineStr">
        <is>
          <t>https://guiarsanrafael.com.ar/empresa/6348/</t>
        </is>
      </c>
    </row>
    <row r="577">
      <c r="A577" s="22" t="n">
        <v>576</v>
      </c>
      <c r="B577" s="23" t="inlineStr">
        <is>
          <t>FABIAN SORVERA</t>
        </is>
      </c>
      <c r="C577" s="12" t="inlineStr">
        <is>
          <t>Estudios tecnicos arquitectura ingieneria</t>
        </is>
      </c>
      <c r="D577" s="12" t="inlineStr">
        <is>
          <t>Estudios tecnicos</t>
        </is>
      </c>
      <c r="E577" s="22" t="n">
        <v>77</v>
      </c>
      <c r="F577" s="22" t="n">
        <v>8326</v>
      </c>
      <c r="G577" s="24" t="inlineStr">
        <is>
          <t>https://guiarsanrafael.com.ar/empresa/fabian-sorvera/</t>
        </is>
      </c>
    </row>
    <row r="578">
      <c r="A578" s="19" t="n">
        <v>577</v>
      </c>
      <c r="B578" s="20" t="inlineStr">
        <is>
          <t>FABIAN SOSA Zinguería &amp; Metalúrgica</t>
        </is>
      </c>
      <c r="C578" s="14" t="inlineStr">
        <is>
          <t>Metalurgicas</t>
        </is>
      </c>
      <c r="D578" s="14" t="inlineStr">
        <is>
          <t>Corte y plegado de chapas</t>
        </is>
      </c>
      <c r="E578" s="19" t="n">
        <v>125</v>
      </c>
      <c r="F578" s="19" t="n">
        <v>6703</v>
      </c>
      <c r="G578" s="21" t="inlineStr">
        <is>
          <t>https://guiarsanrafael.com.ar/empresa/fabian-sosa-zingueria-metalurgica/</t>
        </is>
      </c>
    </row>
    <row r="579">
      <c r="A579" s="22" t="n">
        <v>578</v>
      </c>
      <c r="B579" s="23" t="inlineStr">
        <is>
          <t>FABIO M. GAUNA</t>
        </is>
      </c>
      <c r="C579" s="12" t="inlineStr">
        <is>
          <t>Centro de rehabilitacion</t>
        </is>
      </c>
      <c r="D579" s="12" t="inlineStr">
        <is>
          <t>Centro de rehabilitacion</t>
        </is>
      </c>
      <c r="E579" s="22" t="n">
        <v>137</v>
      </c>
      <c r="F579" s="22" t="n">
        <v>5842</v>
      </c>
      <c r="G579" s="24" t="inlineStr">
        <is>
          <t>https://guiarsanrafael.com.ar/empresa/fabio-m-gauna/</t>
        </is>
      </c>
    </row>
    <row r="580">
      <c r="A580" s="19" t="n">
        <v>579</v>
      </c>
      <c r="B580" s="20" t="inlineStr">
        <is>
          <t>FABIO RIOS BOBINADOS</t>
        </is>
      </c>
      <c r="C580" s="14" t="inlineStr">
        <is>
          <t>Bobinados electricidad</t>
        </is>
      </c>
      <c r="D580" s="14" t="inlineStr">
        <is>
          <t>Bobinados</t>
        </is>
      </c>
      <c r="E580" s="19" t="n">
        <v>121</v>
      </c>
      <c r="F580" s="19" t="n">
        <v>7021</v>
      </c>
      <c r="G580" s="21" t="inlineStr">
        <is>
          <t>https://guiarsanrafael.com.ar/empresa/fabio-rios-bobinados/</t>
        </is>
      </c>
    </row>
    <row r="581">
      <c r="A581" s="22" t="n">
        <v>580</v>
      </c>
      <c r="B581" s="23" t="inlineStr">
        <is>
          <t>Facundo Boschin</t>
        </is>
      </c>
      <c r="C581" s="12" t="inlineStr">
        <is>
          <t>Kinesiologia y fisioterapia</t>
        </is>
      </c>
      <c r="D581" s="12" t="inlineStr">
        <is>
          <t>Kinesiologia y fisioterapia</t>
        </is>
      </c>
      <c r="E581" s="22" t="n">
        <v>153</v>
      </c>
      <c r="F581" s="22" t="n">
        <v>5376</v>
      </c>
      <c r="G581" s="24" t="inlineStr">
        <is>
          <t>https://guiarsanrafael.com.ar/empresa/facundo-boschin/</t>
        </is>
      </c>
    </row>
    <row r="582">
      <c r="A582" s="19" t="n">
        <v>581</v>
      </c>
      <c r="B582" s="20" t="inlineStr">
        <is>
          <t>FADEVA VIDRIOS</t>
        </is>
      </c>
      <c r="C582" s="14" t="inlineStr">
        <is>
          <t>Cristaleria vidrios</t>
        </is>
      </c>
      <c r="D582" s="14" t="inlineStr">
        <is>
          <t>Cristalerias</t>
        </is>
      </c>
      <c r="E582" s="19" t="n">
        <v>171</v>
      </c>
      <c r="F582" s="19" t="n">
        <v>4327</v>
      </c>
      <c r="G582" s="21" t="inlineStr">
        <is>
          <t>https://guiarsanrafael.com.ar/empresa/fadeva-vidrios/</t>
        </is>
      </c>
    </row>
    <row r="583">
      <c r="A583" s="22" t="n">
        <v>582</v>
      </c>
      <c r="B583" s="23" t="inlineStr">
        <is>
          <t>Failla María José</t>
        </is>
      </c>
      <c r="C583" s="12" t="inlineStr">
        <is>
          <t>Abogados abogadas estudios juridicos</t>
        </is>
      </c>
      <c r="D583" s="12" t="inlineStr">
        <is>
          <t>Abogadas</t>
        </is>
      </c>
      <c r="E583" s="22" t="n">
        <v>118</v>
      </c>
      <c r="F583" s="22" t="n">
        <v>7128</v>
      </c>
      <c r="G583" s="24" t="inlineStr">
        <is>
          <t>https://guiarsanrafael.com.ar/empresa/failla-maria-jose/</t>
        </is>
      </c>
    </row>
    <row r="584">
      <c r="A584" s="19" t="n">
        <v>583</v>
      </c>
      <c r="B584" s="20" t="inlineStr">
        <is>
          <t>Family Inn Hotel</t>
        </is>
      </c>
      <c r="C584" s="14" t="inlineStr">
        <is>
          <t>Hoteles hostel hoteleria</t>
        </is>
      </c>
      <c r="D584" s="14" t="inlineStr">
        <is>
          <t>Alojamientos</t>
        </is>
      </c>
      <c r="E584" s="19" t="n">
        <v>92</v>
      </c>
      <c r="F584" s="19" t="n">
        <v>7848</v>
      </c>
      <c r="G584" s="21" t="inlineStr">
        <is>
          <t>https://guiarsanrafael.com.ar/empresa/family-inn-hotel/</t>
        </is>
      </c>
    </row>
    <row r="585">
      <c r="A585" s="22" t="n">
        <v>584</v>
      </c>
      <c r="B585" s="23" t="inlineStr">
        <is>
          <t>FAMÁ Noelia Cecilia</t>
        </is>
      </c>
      <c r="C585" s="12" t="inlineStr">
        <is>
          <t>Escribanias escribanos escribanas mandatario mandataria notarios notarias</t>
        </is>
      </c>
      <c r="D585" s="12" t="inlineStr">
        <is>
          <t>Escribanas</t>
        </is>
      </c>
      <c r="E585" s="22" t="n">
        <v>84</v>
      </c>
      <c r="F585" s="22" t="n">
        <v>8178</v>
      </c>
      <c r="G585" s="24" t="inlineStr">
        <is>
          <t>https://guiarsanrafael.com.ar/empresa/fama-noelia-cecilia/</t>
        </is>
      </c>
    </row>
    <row r="586">
      <c r="A586" s="19" t="n">
        <v>585</v>
      </c>
      <c r="B586" s="20" t="inlineStr">
        <is>
          <t>FAORO Mecánica Integral</t>
        </is>
      </c>
      <c r="C586" s="14" t="inlineStr">
        <is>
          <t>Inyeccion electronica</t>
        </is>
      </c>
      <c r="D586" s="14" t="inlineStr">
        <is>
          <t>Inyeccion electronica</t>
        </is>
      </c>
      <c r="E586" s="19" t="n">
        <v>163</v>
      </c>
      <c r="F586" s="19" t="n">
        <v>5089</v>
      </c>
      <c r="G586" s="21" t="inlineStr">
        <is>
          <t>https://guiarsanrafael.com.ar/empresa/faoro-mecanica-integral/</t>
        </is>
      </c>
    </row>
    <row r="587">
      <c r="A587" s="22" t="n">
        <v>586</v>
      </c>
      <c r="B587" s="23" t="inlineStr">
        <is>
          <t>FARMACIA 16 HORAS</t>
        </is>
      </c>
      <c r="C587" s="12" t="inlineStr">
        <is>
          <t>Farmacias</t>
        </is>
      </c>
      <c r="D587" s="12" t="inlineStr">
        <is>
          <t>Farmacias</t>
        </is>
      </c>
      <c r="E587" s="22" t="n">
        <v>179</v>
      </c>
      <c r="F587" s="22" t="n">
        <v>4034</v>
      </c>
      <c r="G587" s="24" t="inlineStr">
        <is>
          <t>https://guiarsanrafael.com.ar/empresa/farmacia-16-horas/</t>
        </is>
      </c>
    </row>
    <row r="588">
      <c r="A588" s="19" t="n">
        <v>587</v>
      </c>
      <c r="B588" s="20" t="inlineStr">
        <is>
          <t>FARMACIA 9 DE JULIO</t>
        </is>
      </c>
      <c r="C588" s="14" t="inlineStr">
        <is>
          <t>Farmacias</t>
        </is>
      </c>
      <c r="D588" s="14" t="inlineStr">
        <is>
          <t>Farmacias</t>
        </is>
      </c>
      <c r="E588" s="19" t="n">
        <v>176</v>
      </c>
      <c r="F588" s="19" t="n">
        <v>4071</v>
      </c>
      <c r="G588" s="21" t="inlineStr">
        <is>
          <t>https://guiarsanrafael.com.ar/empresa/farmacia-9-de-julio/</t>
        </is>
      </c>
    </row>
    <row r="589">
      <c r="A589" s="22" t="n">
        <v>588</v>
      </c>
      <c r="B589" s="23" t="inlineStr">
        <is>
          <t>FARMACIA ABBONA</t>
        </is>
      </c>
      <c r="C589" s="12" t="inlineStr">
        <is>
          <t>Farmacias</t>
        </is>
      </c>
      <c r="D589" s="12" t="inlineStr">
        <is>
          <t>Farmacias</t>
        </is>
      </c>
      <c r="E589" s="22" t="n">
        <v>175</v>
      </c>
      <c r="F589" s="22" t="n">
        <v>4087</v>
      </c>
      <c r="G589" s="24" t="inlineStr">
        <is>
          <t>https://guiarsanrafael.com.ar/empresa/farmacia-abbona/</t>
        </is>
      </c>
    </row>
    <row r="590">
      <c r="A590" s="19" t="n">
        <v>589</v>
      </c>
      <c r="B590" s="20" t="inlineStr">
        <is>
          <t>FARMACIA ADOLFO CALLE</t>
        </is>
      </c>
      <c r="C590" s="14" t="inlineStr">
        <is>
          <t>Farmacias</t>
        </is>
      </c>
      <c r="D590" s="14" t="inlineStr">
        <is>
          <t>Farmacias</t>
        </is>
      </c>
      <c r="E590" s="19" t="n">
        <v>176</v>
      </c>
      <c r="F590" s="19" t="n">
        <v>4074</v>
      </c>
      <c r="G590" s="21" t="inlineStr">
        <is>
          <t>https://guiarsanrafael.com.ar/empresa/farmacia-adolfo-calle/</t>
        </is>
      </c>
    </row>
    <row r="591">
      <c r="A591" s="22" t="n">
        <v>590</v>
      </c>
      <c r="B591" s="23" t="inlineStr">
        <is>
          <t>FARMACIA ALBERDI</t>
        </is>
      </c>
      <c r="C591" s="12" t="inlineStr">
        <is>
          <t>Farmacias</t>
        </is>
      </c>
      <c r="D591" s="12" t="inlineStr">
        <is>
          <t>Farmacias</t>
        </is>
      </c>
      <c r="E591" s="22" t="n">
        <v>176</v>
      </c>
      <c r="F591" s="22" t="n">
        <v>4070</v>
      </c>
      <c r="G591" s="24" t="inlineStr">
        <is>
          <t>https://guiarsanrafael.com.ar/empresa/farmacia-alberdi/</t>
        </is>
      </c>
    </row>
    <row r="592">
      <c r="A592" s="19" t="n">
        <v>591</v>
      </c>
      <c r="B592" s="20" t="inlineStr">
        <is>
          <t>FARMACIA ALEM</t>
        </is>
      </c>
      <c r="C592" s="14" t="inlineStr">
        <is>
          <t>Farmacias</t>
        </is>
      </c>
      <c r="D592" s="14" t="inlineStr">
        <is>
          <t>Farmacias</t>
        </is>
      </c>
      <c r="E592" s="19" t="n">
        <v>177</v>
      </c>
      <c r="F592" s="19" t="n">
        <v>4053</v>
      </c>
      <c r="G592" s="21" t="inlineStr">
        <is>
          <t>https://guiarsanrafael.com.ar/empresa/farmacia-alem/</t>
        </is>
      </c>
    </row>
    <row r="593">
      <c r="A593" s="22" t="n">
        <v>592</v>
      </c>
      <c r="B593" s="23" t="inlineStr">
        <is>
          <t>FARMACIA ALMAFUERTE</t>
        </is>
      </c>
      <c r="C593" s="12" t="inlineStr">
        <is>
          <t>Farmacias</t>
        </is>
      </c>
      <c r="D593" s="12" t="inlineStr">
        <is>
          <t>Farmacias</t>
        </is>
      </c>
      <c r="E593" s="22" t="n">
        <v>179</v>
      </c>
      <c r="F593" s="22" t="n">
        <v>3955</v>
      </c>
      <c r="G593" s="24" t="inlineStr">
        <is>
          <t>https://guiarsanrafael.com.ar/empresa/farmacia-almafuerte/</t>
        </is>
      </c>
    </row>
    <row r="594">
      <c r="A594" s="19" t="n">
        <v>593</v>
      </c>
      <c r="B594" s="20" t="inlineStr">
        <is>
          <t>FARMACIA AMANECER</t>
        </is>
      </c>
      <c r="C594" s="14" t="inlineStr">
        <is>
          <t>Farmacias</t>
        </is>
      </c>
      <c r="D594" s="14" t="inlineStr">
        <is>
          <t>Farmacias</t>
        </is>
      </c>
      <c r="E594" s="19" t="n">
        <v>175</v>
      </c>
      <c r="F594" s="19" t="n">
        <v>4075</v>
      </c>
      <c r="G594" s="21" t="inlineStr">
        <is>
          <t>https://guiarsanrafael.com.ar/empresa/farmacia-amanecer/</t>
        </is>
      </c>
    </row>
    <row r="595">
      <c r="A595" s="22" t="n">
        <v>594</v>
      </c>
      <c r="B595" s="23" t="inlineStr">
        <is>
          <t>FARMACIA ANDINA</t>
        </is>
      </c>
      <c r="C595" s="12" t="inlineStr">
        <is>
          <t>Farmacias</t>
        </is>
      </c>
      <c r="D595" s="12" t="inlineStr">
        <is>
          <t>Farmacias</t>
        </is>
      </c>
      <c r="E595" s="22" t="n">
        <v>174</v>
      </c>
      <c r="F595" s="22" t="n">
        <v>4097</v>
      </c>
      <c r="G595" s="24" t="inlineStr">
        <is>
          <t>https://guiarsanrafael.com.ar/empresa/farmacia-andina-2/</t>
        </is>
      </c>
    </row>
    <row r="596">
      <c r="A596" s="19" t="n">
        <v>595</v>
      </c>
      <c r="B596" s="20" t="inlineStr">
        <is>
          <t>FARMACIA ANDINA</t>
        </is>
      </c>
      <c r="C596" s="14" t="inlineStr">
        <is>
          <t>Farmacias</t>
        </is>
      </c>
      <c r="D596" s="14" t="inlineStr">
        <is>
          <t>Farmacias</t>
        </is>
      </c>
      <c r="E596" s="19" t="n">
        <v>177</v>
      </c>
      <c r="F596" s="19" t="n">
        <v>4054</v>
      </c>
      <c r="G596" s="21" t="inlineStr">
        <is>
          <t>https://guiarsanrafael.com.ar/empresa/farmacia-andina/</t>
        </is>
      </c>
    </row>
    <row r="597">
      <c r="A597" s="22" t="n">
        <v>596</v>
      </c>
      <c r="B597" s="23" t="inlineStr">
        <is>
          <t>FARMACIA ATENCIO</t>
        </is>
      </c>
      <c r="C597" s="12" t="inlineStr">
        <is>
          <t>Farmacias</t>
        </is>
      </c>
      <c r="D597" s="12" t="inlineStr">
        <is>
          <t>Farmacias</t>
        </is>
      </c>
      <c r="E597" s="22" t="n">
        <v>178</v>
      </c>
      <c r="F597" s="22" t="n">
        <v>4040</v>
      </c>
      <c r="G597" s="24" t="inlineStr">
        <is>
          <t>https://guiarsanrafael.com.ar/empresa/farmacia-atencio/</t>
        </is>
      </c>
    </row>
    <row r="598">
      <c r="A598" s="19" t="n">
        <v>597</v>
      </c>
      <c r="B598" s="20" t="inlineStr">
        <is>
          <t>FARMACIA AVENIDA</t>
        </is>
      </c>
      <c r="C598" s="14" t="inlineStr">
        <is>
          <t>Farmacias</t>
        </is>
      </c>
      <c r="D598" s="14" t="inlineStr">
        <is>
          <t>Farmacias</t>
        </is>
      </c>
      <c r="E598" s="19" t="n">
        <v>179</v>
      </c>
      <c r="F598" s="19" t="n">
        <v>4036</v>
      </c>
      <c r="G598" s="21" t="inlineStr">
        <is>
          <t>https://guiarsanrafael.com.ar/empresa/farmacia-avenida/</t>
        </is>
      </c>
    </row>
    <row r="599">
      <c r="A599" s="22" t="n">
        <v>598</v>
      </c>
      <c r="B599" s="23" t="inlineStr">
        <is>
          <t>FARMACIA BALLOFFET</t>
        </is>
      </c>
      <c r="C599" s="12" t="inlineStr">
        <is>
          <t>Farmacias</t>
        </is>
      </c>
      <c r="D599" s="12" t="inlineStr">
        <is>
          <t>Farmacias</t>
        </is>
      </c>
      <c r="E599" s="22" t="n">
        <v>175</v>
      </c>
      <c r="F599" s="22" t="n">
        <v>4085</v>
      </c>
      <c r="G599" s="24" t="inlineStr">
        <is>
          <t>https://guiarsanrafael.com.ar/empresa/farmacia-balloffet/</t>
        </is>
      </c>
    </row>
    <row r="600">
      <c r="A600" s="19" t="n">
        <v>599</v>
      </c>
      <c r="B600" s="20" t="inlineStr">
        <is>
          <t>FARMACIA BALLOFFET II</t>
        </is>
      </c>
      <c r="C600" s="14" t="inlineStr">
        <is>
          <t>Farmacias</t>
        </is>
      </c>
      <c r="D600" s="14" t="inlineStr">
        <is>
          <t>Farmacias</t>
        </is>
      </c>
      <c r="E600" s="19" t="n">
        <v>175</v>
      </c>
      <c r="F600" s="19" t="n">
        <v>4078</v>
      </c>
      <c r="G600" s="21" t="inlineStr">
        <is>
          <t>https://guiarsanrafael.com.ar/empresa/farmacia-balloffet-ii/</t>
        </is>
      </c>
    </row>
    <row r="601">
      <c r="A601" s="22" t="n">
        <v>600</v>
      </c>
      <c r="B601" s="23" t="inlineStr">
        <is>
          <t>FARMACIA BUENOS AIRES</t>
        </is>
      </c>
      <c r="C601" s="12" t="inlineStr">
        <is>
          <t>Farmacias</t>
        </is>
      </c>
      <c r="D601" s="12" t="inlineStr">
        <is>
          <t>Farmacias</t>
        </is>
      </c>
      <c r="E601" s="22" t="n">
        <v>178</v>
      </c>
      <c r="F601" s="22" t="n">
        <v>4039</v>
      </c>
      <c r="G601" s="24" t="inlineStr">
        <is>
          <t>https://guiarsanrafael.com.ar/empresa/farmacia-buenos-aires/</t>
        </is>
      </c>
    </row>
    <row r="602">
      <c r="A602" s="19" t="n">
        <v>601</v>
      </c>
      <c r="B602" s="20" t="inlineStr">
        <is>
          <t>FARMACIA CABILDO</t>
        </is>
      </c>
      <c r="C602" s="14" t="inlineStr">
        <is>
          <t>Farmacias</t>
        </is>
      </c>
      <c r="D602" s="14" t="inlineStr">
        <is>
          <t>Farmacias</t>
        </is>
      </c>
      <c r="E602" s="19" t="n">
        <v>175</v>
      </c>
      <c r="F602" s="19" t="n">
        <v>4088</v>
      </c>
      <c r="G602" s="21" t="inlineStr">
        <is>
          <t>https://guiarsanrafael.com.ar/empresa/farmacia-cabildo/</t>
        </is>
      </c>
    </row>
    <row r="603">
      <c r="A603" s="22" t="n">
        <v>602</v>
      </c>
      <c r="B603" s="23" t="inlineStr">
        <is>
          <t>FARMACIA CERIONI</t>
        </is>
      </c>
      <c r="C603" s="12" t="inlineStr">
        <is>
          <t>Farmacias</t>
        </is>
      </c>
      <c r="D603" s="12" t="inlineStr">
        <is>
          <t>Farmacias</t>
        </is>
      </c>
      <c r="E603" s="22" t="n">
        <v>176</v>
      </c>
      <c r="F603" s="22" t="n">
        <v>4066</v>
      </c>
      <c r="G603" s="24" t="inlineStr">
        <is>
          <t>https://guiarsanrafael.com.ar/empresa/farmacia-cerioni/</t>
        </is>
      </c>
    </row>
    <row r="604">
      <c r="A604" s="19" t="n">
        <v>603</v>
      </c>
      <c r="B604" s="20" t="inlineStr">
        <is>
          <t>FARMACIA CONSTITUCION</t>
        </is>
      </c>
      <c r="C604" s="14" t="inlineStr">
        <is>
          <t>Farmacias</t>
        </is>
      </c>
      <c r="D604" s="14" t="inlineStr">
        <is>
          <t>Farmacias</t>
        </is>
      </c>
      <c r="E604" s="19" t="n">
        <v>174</v>
      </c>
      <c r="F604" s="19" t="n">
        <v>4091</v>
      </c>
      <c r="G604" s="21" t="inlineStr">
        <is>
          <t>https://guiarsanrafael.com.ar/empresa/farmacia-constitucion-%c2%b7-0260-442-4713/</t>
        </is>
      </c>
    </row>
    <row r="605">
      <c r="A605" s="22" t="n">
        <v>604</v>
      </c>
      <c r="B605" s="23" t="inlineStr">
        <is>
          <t>FARMACIA CRISTO REY</t>
        </is>
      </c>
      <c r="C605" s="12" t="inlineStr">
        <is>
          <t>Farmacias</t>
        </is>
      </c>
      <c r="D605" s="12" t="inlineStr">
        <is>
          <t>Farmacias</t>
        </is>
      </c>
      <c r="E605" s="22" t="n">
        <v>177</v>
      </c>
      <c r="F605" s="22" t="n">
        <v>4057</v>
      </c>
      <c r="G605" s="24" t="inlineStr">
        <is>
          <t>https://guiarsanrafael.com.ar/empresa/farmacia-cristo-rey/</t>
        </is>
      </c>
    </row>
    <row r="606">
      <c r="A606" s="19" t="n">
        <v>605</v>
      </c>
      <c r="B606" s="20" t="inlineStr">
        <is>
          <t>FARMACIA CRUZ DEL SUR</t>
        </is>
      </c>
      <c r="C606" s="14" t="inlineStr">
        <is>
          <t>Farmacias</t>
        </is>
      </c>
      <c r="D606" s="14" t="inlineStr">
        <is>
          <t>Farmacias</t>
        </is>
      </c>
      <c r="E606" s="19" t="n">
        <v>176</v>
      </c>
      <c r="F606" s="19" t="n">
        <v>4061</v>
      </c>
      <c r="G606" s="21" t="inlineStr">
        <is>
          <t>https://guiarsanrafael.com.ar/empresa/farmacia-cruz-del-sur/</t>
        </is>
      </c>
    </row>
    <row r="607">
      <c r="A607" s="22" t="n">
        <v>606</v>
      </c>
      <c r="B607" s="23" t="inlineStr">
        <is>
          <t>FARMACIA DEL ANGEL</t>
        </is>
      </c>
      <c r="C607" s="12" t="inlineStr">
        <is>
          <t>Farmacias</t>
        </is>
      </c>
      <c r="D607" s="12" t="inlineStr">
        <is>
          <t>Farmacias</t>
        </is>
      </c>
      <c r="E607" s="22" t="n">
        <v>177</v>
      </c>
      <c r="F607" s="22" t="n">
        <v>4058</v>
      </c>
      <c r="G607" s="24" t="inlineStr">
        <is>
          <t>https://guiarsanrafael.com.ar/empresa/farmacia-del-angel/</t>
        </is>
      </c>
    </row>
    <row r="608">
      <c r="A608" s="19" t="n">
        <v>607</v>
      </c>
      <c r="B608" s="20" t="inlineStr">
        <is>
          <t>FARMACIA DEL CARMEN</t>
        </is>
      </c>
      <c r="C608" s="14" t="inlineStr">
        <is>
          <t>Farmacias</t>
        </is>
      </c>
      <c r="D608" s="14" t="inlineStr">
        <is>
          <t>Farmacias</t>
        </is>
      </c>
      <c r="E608" s="19" t="n">
        <v>178</v>
      </c>
      <c r="F608" s="19" t="n">
        <v>4042</v>
      </c>
      <c r="G608" s="21" t="inlineStr">
        <is>
          <t>https://guiarsanrafael.com.ar/empresa/farmacia-del-carmen/</t>
        </is>
      </c>
    </row>
    <row r="609">
      <c r="A609" s="22" t="n">
        <v>608</v>
      </c>
      <c r="B609" s="23" t="inlineStr">
        <is>
          <t>FARMACIA DEL PUEBLO</t>
        </is>
      </c>
      <c r="C609" s="12" t="inlineStr">
        <is>
          <t>Farmacias</t>
        </is>
      </c>
      <c r="D609" s="12" t="inlineStr">
        <is>
          <t>Farmacias</t>
        </is>
      </c>
      <c r="E609" s="22" t="n">
        <v>177</v>
      </c>
      <c r="F609" s="22" t="n">
        <v>4055</v>
      </c>
      <c r="G609" s="24" t="inlineStr">
        <is>
          <t>https://guiarsanrafael.com.ar/empresa/farmacia-del-pueblo/</t>
        </is>
      </c>
    </row>
    <row r="610">
      <c r="A610" s="19" t="n">
        <v>609</v>
      </c>
      <c r="B610" s="20" t="inlineStr">
        <is>
          <t>FARMACIA DIAMANTE</t>
        </is>
      </c>
      <c r="C610" s="14" t="inlineStr">
        <is>
          <t>Farmacias</t>
        </is>
      </c>
      <c r="D610" s="14" t="inlineStr">
        <is>
          <t>Farmacias</t>
        </is>
      </c>
      <c r="E610" s="19" t="n">
        <v>175</v>
      </c>
      <c r="F610" s="19" t="n">
        <v>4089</v>
      </c>
      <c r="G610" s="21" t="inlineStr">
        <is>
          <t>https://guiarsanrafael.com.ar/empresa/farmacia-diamante/</t>
        </is>
      </c>
    </row>
    <row r="611">
      <c r="A611" s="22" t="n">
        <v>610</v>
      </c>
      <c r="B611" s="23" t="inlineStr">
        <is>
          <t>FARMACIA DIFABIO</t>
        </is>
      </c>
      <c r="C611" s="12" t="inlineStr">
        <is>
          <t>Farmacias</t>
        </is>
      </c>
      <c r="D611" s="12" t="inlineStr">
        <is>
          <t>Farmacias</t>
        </is>
      </c>
      <c r="E611" s="22" t="n">
        <v>174</v>
      </c>
      <c r="F611" s="22" t="n">
        <v>4104</v>
      </c>
      <c r="G611" s="24" t="inlineStr">
        <is>
          <t>https://guiarsanrafael.com.ar/empresa/faramacia-difabio/</t>
        </is>
      </c>
    </row>
    <row r="612">
      <c r="A612" s="19" t="n">
        <v>611</v>
      </c>
      <c r="B612" s="20" t="inlineStr">
        <is>
          <t>FARMACIA EL SALTO</t>
        </is>
      </c>
      <c r="C612" s="14" t="inlineStr">
        <is>
          <t>Farmacias</t>
        </is>
      </c>
      <c r="D612" s="14" t="inlineStr">
        <is>
          <t>Farmacias</t>
        </is>
      </c>
      <c r="E612" s="19" t="n">
        <v>175</v>
      </c>
      <c r="F612" s="19" t="n">
        <v>4090</v>
      </c>
      <c r="G612" s="21" t="inlineStr">
        <is>
          <t>https://guiarsanrafael.com.ar/empresa/farmacia-el-salto/</t>
        </is>
      </c>
    </row>
    <row r="613">
      <c r="A613" s="22" t="n">
        <v>612</v>
      </c>
      <c r="B613" s="23" t="inlineStr">
        <is>
          <t>FARMACIA ESPAÑA</t>
        </is>
      </c>
      <c r="C613" s="12" t="inlineStr">
        <is>
          <t>Farmacias</t>
        </is>
      </c>
      <c r="D613" s="12" t="inlineStr">
        <is>
          <t>Farmacias</t>
        </is>
      </c>
      <c r="E613" s="22" t="n">
        <v>175</v>
      </c>
      <c r="F613" s="22" t="n">
        <v>4076</v>
      </c>
      <c r="G613" s="24" t="inlineStr">
        <is>
          <t>https://guiarsanrafael.com.ar/empresa/farmacia-espana/</t>
        </is>
      </c>
    </row>
    <row r="614">
      <c r="A614" s="19" t="n">
        <v>613</v>
      </c>
      <c r="B614" s="20" t="inlineStr">
        <is>
          <t>FARMACIA FLORIDA</t>
        </is>
      </c>
      <c r="C614" s="14" t="inlineStr">
        <is>
          <t>Farmacias</t>
        </is>
      </c>
      <c r="D614" s="14" t="inlineStr">
        <is>
          <t>Farmacias</t>
        </is>
      </c>
      <c r="E614" s="19" t="n">
        <v>178</v>
      </c>
      <c r="F614" s="19" t="n">
        <v>4050</v>
      </c>
      <c r="G614" s="21" t="inlineStr">
        <is>
          <t>https://guiarsanrafael.com.ar/empresa/farmacia-florida/</t>
        </is>
      </c>
    </row>
    <row r="615">
      <c r="A615" s="22" t="n">
        <v>614</v>
      </c>
      <c r="B615" s="23" t="inlineStr">
        <is>
          <t>FARMACIA GRISEL</t>
        </is>
      </c>
      <c r="C615" s="12" t="inlineStr">
        <is>
          <t>Farmacias</t>
        </is>
      </c>
      <c r="D615" s="12" t="inlineStr">
        <is>
          <t>Farmacias</t>
        </is>
      </c>
      <c r="E615" s="22" t="n">
        <v>176</v>
      </c>
      <c r="F615" s="22" t="n">
        <v>4072</v>
      </c>
      <c r="G615" s="24" t="inlineStr">
        <is>
          <t>https://guiarsanrafael.com.ar/empresa/farmacia-grisel/</t>
        </is>
      </c>
    </row>
    <row r="616">
      <c r="A616" s="19" t="n">
        <v>615</v>
      </c>
      <c r="B616" s="20" t="inlineStr">
        <is>
          <t>FARMACIA INDEPENDENCIA</t>
        </is>
      </c>
      <c r="C616" s="14" t="inlineStr">
        <is>
          <t>Farmacias</t>
        </is>
      </c>
      <c r="D616" s="14" t="inlineStr">
        <is>
          <t>Farmacias</t>
        </is>
      </c>
      <c r="E616" s="19" t="n">
        <v>177</v>
      </c>
      <c r="F616" s="19" t="n">
        <v>4051</v>
      </c>
      <c r="G616" s="21" t="inlineStr">
        <is>
          <t>https://guiarsanrafael.com.ar/empresa/farmacia-independencia/</t>
        </is>
      </c>
    </row>
    <row r="617">
      <c r="A617" s="22" t="n">
        <v>616</v>
      </c>
      <c r="B617" s="23" t="inlineStr">
        <is>
          <t>FARMACIA LA TERMINAL</t>
        </is>
      </c>
      <c r="C617" s="12" t="inlineStr">
        <is>
          <t>Farmacias</t>
        </is>
      </c>
      <c r="D617" s="12" t="inlineStr">
        <is>
          <t>Farmacias</t>
        </is>
      </c>
      <c r="E617" s="22" t="n">
        <v>174</v>
      </c>
      <c r="F617" s="22" t="n">
        <v>4107</v>
      </c>
      <c r="G617" s="24" t="inlineStr">
        <is>
          <t>https://guiarsanrafael.com.ar/empresa/farmacia-la-terminal-2/</t>
        </is>
      </c>
    </row>
    <row r="618">
      <c r="A618" s="19" t="n">
        <v>617</v>
      </c>
      <c r="B618" s="20" t="inlineStr">
        <is>
          <t>FARMACIA LA TERMINAL</t>
        </is>
      </c>
      <c r="C618" s="14" t="inlineStr">
        <is>
          <t>Farmacias</t>
        </is>
      </c>
      <c r="D618" s="14" t="inlineStr">
        <is>
          <t>Farmacias</t>
        </is>
      </c>
      <c r="E618" s="19" t="n">
        <v>177</v>
      </c>
      <c r="F618" s="19" t="n">
        <v>4060</v>
      </c>
      <c r="G618" s="21" t="inlineStr">
        <is>
          <t>https://guiarsanrafael.com.ar/empresa/farmacia-la-terminal/</t>
        </is>
      </c>
    </row>
    <row r="619">
      <c r="A619" s="22" t="n">
        <v>618</v>
      </c>
      <c r="B619" s="23" t="inlineStr">
        <is>
          <t>FARMACIA LISENO</t>
        </is>
      </c>
      <c r="C619" s="12" t="inlineStr">
        <is>
          <t>Farmacias</t>
        </is>
      </c>
      <c r="D619" s="12" t="inlineStr">
        <is>
          <t>Farmacias</t>
        </is>
      </c>
      <c r="E619" s="22" t="n">
        <v>178</v>
      </c>
      <c r="F619" s="22" t="n">
        <v>4041</v>
      </c>
      <c r="G619" s="24" t="inlineStr">
        <is>
          <t>https://guiarsanrafael.com.ar/empresa/farmacia-liseno/</t>
        </is>
      </c>
    </row>
    <row r="620">
      <c r="A620" s="19" t="n">
        <v>619</v>
      </c>
      <c r="B620" s="20" t="inlineStr">
        <is>
          <t>FARMACIA LOS SAUCES</t>
        </is>
      </c>
      <c r="C620" s="14" t="inlineStr">
        <is>
          <t>Farmacias</t>
        </is>
      </c>
      <c r="D620" s="14" t="inlineStr">
        <is>
          <t>Farmacias</t>
        </is>
      </c>
      <c r="E620" s="19" t="n">
        <v>174</v>
      </c>
      <c r="F620" s="19" t="n">
        <v>4098</v>
      </c>
      <c r="G620" s="21" t="inlineStr">
        <is>
          <t>https://guiarsanrafael.com.ar/empresa/farmacia-los-sauces/</t>
        </is>
      </c>
    </row>
    <row r="621">
      <c r="A621" s="22" t="n">
        <v>620</v>
      </c>
      <c r="B621" s="23" t="inlineStr">
        <is>
          <t>FARMACIA LUZ Y VIDA</t>
        </is>
      </c>
      <c r="C621" s="12" t="inlineStr">
        <is>
          <t>Farmacias</t>
        </is>
      </c>
      <c r="D621" s="12" t="inlineStr">
        <is>
          <t>Farmacias</t>
        </is>
      </c>
      <c r="E621" s="22" t="n">
        <v>175</v>
      </c>
      <c r="F621" s="22" t="n">
        <v>4077</v>
      </c>
      <c r="G621" s="24" t="inlineStr">
        <is>
          <t>https://guiarsanrafael.com.ar/empresa/farmacia-luz-y-vida/</t>
        </is>
      </c>
    </row>
    <row r="622">
      <c r="A622" s="19" t="n">
        <v>621</v>
      </c>
      <c r="B622" s="20" t="inlineStr">
        <is>
          <t>FARMACIA MARILYN</t>
        </is>
      </c>
      <c r="C622" s="14" t="inlineStr">
        <is>
          <t>Farmacias</t>
        </is>
      </c>
      <c r="D622" s="14" t="inlineStr">
        <is>
          <t>Farmacias</t>
        </is>
      </c>
      <c r="E622" s="19" t="n">
        <v>177</v>
      </c>
      <c r="F622" s="19" t="n">
        <v>4056</v>
      </c>
      <c r="G622" s="21" t="inlineStr">
        <is>
          <t>https://guiarsanrafael.com.ar/empresa/farmacia-marilyn/</t>
        </is>
      </c>
    </row>
    <row r="623">
      <c r="A623" s="22" t="n">
        <v>622</v>
      </c>
      <c r="B623" s="23" t="inlineStr">
        <is>
          <t>FARMACIA MAYO</t>
        </is>
      </c>
      <c r="C623" s="12" t="inlineStr">
        <is>
          <t>Farmacias</t>
        </is>
      </c>
      <c r="D623" s="12" t="inlineStr">
        <is>
          <t>Farmacias</t>
        </is>
      </c>
      <c r="E623" s="22" t="n">
        <v>179</v>
      </c>
      <c r="F623" s="22" t="n">
        <v>4027</v>
      </c>
      <c r="G623" s="24" t="inlineStr">
        <is>
          <t>https://guiarsanrafael.com.ar/empresa/farmacia-mayo/</t>
        </is>
      </c>
    </row>
    <row r="624">
      <c r="A624" s="19" t="n">
        <v>623</v>
      </c>
      <c r="B624" s="20" t="inlineStr">
        <is>
          <t>FARMACIA MORENO</t>
        </is>
      </c>
      <c r="C624" s="14" t="inlineStr">
        <is>
          <t>Destacados</t>
        </is>
      </c>
      <c r="D624" s="14" t="inlineStr">
        <is>
          <t>Farmacias</t>
        </is>
      </c>
      <c r="E624" s="19" t="n">
        <v>179</v>
      </c>
      <c r="F624" s="19" t="n">
        <v>4035</v>
      </c>
      <c r="G624" s="21" t="inlineStr">
        <is>
          <t>https://guiarsanrafael.com.ar/empresa/farmacia-moreno/</t>
        </is>
      </c>
    </row>
    <row r="625">
      <c r="A625" s="22" t="n">
        <v>624</v>
      </c>
      <c r="B625" s="23" t="inlineStr">
        <is>
          <t>FARMACIA MUÑOZ</t>
        </is>
      </c>
      <c r="C625" s="12" t="inlineStr">
        <is>
          <t>Farmacias</t>
        </is>
      </c>
      <c r="D625" s="12" t="inlineStr">
        <is>
          <t>Farmacias</t>
        </is>
      </c>
      <c r="E625" s="22" t="n">
        <v>178</v>
      </c>
      <c r="F625" s="22" t="n">
        <v>4043</v>
      </c>
      <c r="G625" s="24" t="inlineStr">
        <is>
          <t>https://guiarsanrafael.com.ar/empresa/farmacia-munoz/</t>
        </is>
      </c>
    </row>
    <row r="626">
      <c r="A626" s="19" t="n">
        <v>625</v>
      </c>
      <c r="B626" s="20" t="inlineStr">
        <is>
          <t>FARMACIA PELLEGRINI</t>
        </is>
      </c>
      <c r="C626" s="14" t="inlineStr">
        <is>
          <t>Farmacias</t>
        </is>
      </c>
      <c r="D626" s="14" t="inlineStr">
        <is>
          <t>Farmacias</t>
        </is>
      </c>
      <c r="E626" s="19" t="n">
        <v>174</v>
      </c>
      <c r="F626" s="19" t="n">
        <v>4103</v>
      </c>
      <c r="G626" s="21" t="inlineStr">
        <is>
          <t>https://guiarsanrafael.com.ar/empresa/farmacia-pellegrini/</t>
        </is>
      </c>
    </row>
    <row r="627">
      <c r="A627" s="22" t="n">
        <v>626</v>
      </c>
      <c r="B627" s="23" t="inlineStr">
        <is>
          <t>FARMACIA PLAZA</t>
        </is>
      </c>
      <c r="C627" s="12" t="inlineStr">
        <is>
          <t>Farmacias</t>
        </is>
      </c>
      <c r="D627" s="12" t="inlineStr">
        <is>
          <t>Farmacias</t>
        </is>
      </c>
      <c r="E627" s="22" t="n">
        <v>178</v>
      </c>
      <c r="F627" s="22" t="n">
        <v>4048</v>
      </c>
      <c r="G627" s="24" t="inlineStr">
        <is>
          <t>https://guiarsanrafael.com.ar/empresa/farmacia-plaza/</t>
        </is>
      </c>
    </row>
    <row r="628">
      <c r="A628" s="19" t="n">
        <v>627</v>
      </c>
      <c r="B628" s="20" t="inlineStr">
        <is>
          <t>FARMACIA RIVADAVIA</t>
        </is>
      </c>
      <c r="C628" s="14" t="inlineStr">
        <is>
          <t>Farmacias</t>
        </is>
      </c>
      <c r="D628" s="14" t="inlineStr">
        <is>
          <t>Farmacias</t>
        </is>
      </c>
      <c r="E628" s="19" t="n">
        <v>179</v>
      </c>
      <c r="F628" s="19" t="n">
        <v>4030</v>
      </c>
      <c r="G628" s="21" t="inlineStr">
        <is>
          <t>https://guiarsanrafael.com.ar/empresa/farmacia-rivadavia/</t>
        </is>
      </c>
    </row>
    <row r="629">
      <c r="A629" s="22" t="n">
        <v>628</v>
      </c>
      <c r="B629" s="23" t="inlineStr">
        <is>
          <t>FARMACIA ROCA</t>
        </is>
      </c>
      <c r="C629" s="12" t="inlineStr">
        <is>
          <t>Farmacias</t>
        </is>
      </c>
      <c r="D629" s="12" t="inlineStr">
        <is>
          <t>Farmacias</t>
        </is>
      </c>
      <c r="E629" s="22" t="n">
        <v>174</v>
      </c>
      <c r="F629" s="22" t="n">
        <v>4108</v>
      </c>
      <c r="G629" s="24" t="inlineStr">
        <is>
          <t>https://guiarsanrafael.com.ar/empresa/farmacia-roca/</t>
        </is>
      </c>
    </row>
    <row r="630">
      <c r="A630" s="19" t="n">
        <v>629</v>
      </c>
      <c r="B630" s="20" t="inlineStr">
        <is>
          <t>FARMACIA SAN ANDRES</t>
        </is>
      </c>
      <c r="C630" s="14" t="inlineStr">
        <is>
          <t>Farmacias</t>
        </is>
      </c>
      <c r="D630" s="14" t="inlineStr">
        <is>
          <t>Farmacias</t>
        </is>
      </c>
      <c r="E630" s="19" t="n">
        <v>178</v>
      </c>
      <c r="F630" s="19" t="n">
        <v>4049</v>
      </c>
      <c r="G630" s="21" t="inlineStr">
        <is>
          <t>https://guiarsanrafael.com.ar/empresa/farmacia-san-andres/</t>
        </is>
      </c>
    </row>
    <row r="631">
      <c r="A631" s="22" t="n">
        <v>630</v>
      </c>
      <c r="B631" s="23" t="inlineStr">
        <is>
          <t>FARMACIA SAN JUAN</t>
        </is>
      </c>
      <c r="C631" s="12" t="inlineStr">
        <is>
          <t>Farmacias</t>
        </is>
      </c>
      <c r="D631" s="12" t="inlineStr">
        <is>
          <t>Farmacias</t>
        </is>
      </c>
      <c r="E631" s="22" t="n">
        <v>177</v>
      </c>
      <c r="F631" s="22" t="n">
        <v>4059</v>
      </c>
      <c r="G631" s="24" t="inlineStr">
        <is>
          <t>https://guiarsanrafael.com.ar/empresa/farmacia-san-juan/</t>
        </is>
      </c>
    </row>
    <row r="632">
      <c r="A632" s="19" t="n">
        <v>631</v>
      </c>
      <c r="B632" s="20" t="inlineStr">
        <is>
          <t>FARMACIA SAN MARTIN</t>
        </is>
      </c>
      <c r="C632" s="14" t="inlineStr">
        <is>
          <t>Farmacias</t>
        </is>
      </c>
      <c r="D632" s="14" t="inlineStr">
        <is>
          <t>Farmacias</t>
        </is>
      </c>
      <c r="E632" s="19" t="n">
        <v>178</v>
      </c>
      <c r="F632" s="19" t="n">
        <v>4037</v>
      </c>
      <c r="G632" s="21" t="inlineStr">
        <is>
          <t>https://guiarsanrafael.com.ar/empresa/farmacia-san-martin-farmacia-%c2%b7-0260/</t>
        </is>
      </c>
    </row>
    <row r="633">
      <c r="A633" s="22" t="n">
        <v>632</v>
      </c>
      <c r="B633" s="23" t="inlineStr">
        <is>
          <t>FARMACIA SAN RAFAEL 1</t>
        </is>
      </c>
      <c r="C633" s="12" t="inlineStr">
        <is>
          <t>Farmacias</t>
        </is>
      </c>
      <c r="D633" s="12" t="inlineStr">
        <is>
          <t>Farmacias</t>
        </is>
      </c>
      <c r="E633" s="22" t="n">
        <v>178</v>
      </c>
      <c r="F633" s="22" t="n">
        <v>4045</v>
      </c>
      <c r="G633" s="24" t="inlineStr">
        <is>
          <t>https://guiarsanrafael.com.ar/empresa/farmacia-san-rafael-1/</t>
        </is>
      </c>
    </row>
    <row r="634">
      <c r="A634" s="19" t="n">
        <v>633</v>
      </c>
      <c r="B634" s="20" t="inlineStr">
        <is>
          <t>FARMACIA SAN RAFAEL 2</t>
        </is>
      </c>
      <c r="C634" s="14" t="inlineStr">
        <is>
          <t>Farmacias</t>
        </is>
      </c>
      <c r="D634" s="14" t="inlineStr">
        <is>
          <t>Farmacias</t>
        </is>
      </c>
      <c r="E634" s="19" t="n">
        <v>179</v>
      </c>
      <c r="F634" s="19" t="n">
        <v>4031</v>
      </c>
      <c r="G634" s="21" t="inlineStr">
        <is>
          <t>https://guiarsanrafael.com.ar/empresa/farmacia-san-rafael-2/</t>
        </is>
      </c>
    </row>
    <row r="635">
      <c r="A635" s="22" t="n">
        <v>634</v>
      </c>
      <c r="B635" s="23" t="inlineStr">
        <is>
          <t>FARMACIA SAN RAFAEL 3</t>
        </is>
      </c>
      <c r="C635" s="12" t="inlineStr">
        <is>
          <t>Farmacias</t>
        </is>
      </c>
      <c r="D635" s="12" t="inlineStr">
        <is>
          <t>Farmacias</t>
        </is>
      </c>
      <c r="E635" s="22" t="n">
        <v>177</v>
      </c>
      <c r="F635" s="22" t="n">
        <v>4052</v>
      </c>
      <c r="G635" s="24" t="inlineStr">
        <is>
          <t>https://guiarsanrafael.com.ar/empresa/farmacia-san-rafael-3/</t>
        </is>
      </c>
    </row>
    <row r="636">
      <c r="A636" s="19" t="n">
        <v>635</v>
      </c>
      <c r="B636" s="20" t="inlineStr">
        <is>
          <t>FARMACIA SANTA FE</t>
        </is>
      </c>
      <c r="C636" s="14" t="inlineStr">
        <is>
          <t>Farmacias</t>
        </is>
      </c>
      <c r="D636" s="14" t="inlineStr">
        <is>
          <t>Farmacias</t>
        </is>
      </c>
      <c r="E636" s="19" t="n">
        <v>174</v>
      </c>
      <c r="F636" s="19" t="n">
        <v>4105</v>
      </c>
      <c r="G636" s="21" t="inlineStr">
        <is>
          <t>https://guiarsanrafael.com.ar/empresa/farmacia-santa-fe-farmacia-%c2%b7-0260/</t>
        </is>
      </c>
    </row>
    <row r="637">
      <c r="A637" s="22" t="n">
        <v>636</v>
      </c>
      <c r="B637" s="23" t="inlineStr">
        <is>
          <t>FARMACIA SARMIENTO</t>
        </is>
      </c>
      <c r="C637" s="12" t="inlineStr">
        <is>
          <t>Farmacias</t>
        </is>
      </c>
      <c r="D637" s="12" t="inlineStr">
        <is>
          <t>Farmacias</t>
        </is>
      </c>
      <c r="E637" s="22" t="n">
        <v>176</v>
      </c>
      <c r="F637" s="22" t="n">
        <v>4062</v>
      </c>
      <c r="G637" s="24" t="inlineStr">
        <is>
          <t>https://guiarsanrafael.com.ar/empresa/farmacia-sarmiento/</t>
        </is>
      </c>
    </row>
    <row r="638">
      <c r="A638" s="19" t="n">
        <v>637</v>
      </c>
      <c r="B638" s="20" t="inlineStr">
        <is>
          <t>FARMACIA SINI</t>
        </is>
      </c>
      <c r="C638" s="14" t="inlineStr">
        <is>
          <t>Farmacias</t>
        </is>
      </c>
      <c r="D638" s="14" t="inlineStr">
        <is>
          <t>Farmacias</t>
        </is>
      </c>
      <c r="E638" s="19" t="n">
        <v>176</v>
      </c>
      <c r="F638" s="19" t="n">
        <v>4064</v>
      </c>
      <c r="G638" s="21" t="inlineStr">
        <is>
          <t>https://guiarsanrafael.com.ar/empresa/farmacia-sini/</t>
        </is>
      </c>
    </row>
    <row r="639">
      <c r="A639" s="22" t="n">
        <v>638</v>
      </c>
      <c r="B639" s="23" t="inlineStr">
        <is>
          <t>FARMACIA UNIMEV</t>
        </is>
      </c>
      <c r="C639" s="12" t="inlineStr">
        <is>
          <t>Farmacias</t>
        </is>
      </c>
      <c r="D639" s="12" t="inlineStr">
        <is>
          <t>Farmacias</t>
        </is>
      </c>
      <c r="E639" s="22" t="n">
        <v>175</v>
      </c>
      <c r="F639" s="22" t="n">
        <v>4086</v>
      </c>
      <c r="G639" s="24" t="inlineStr">
        <is>
          <t>https://guiarsanrafael.com.ar/empresa/farmacia-unimev/</t>
        </is>
      </c>
    </row>
    <row r="640">
      <c r="A640" s="19" t="n">
        <v>639</v>
      </c>
      <c r="B640" s="20" t="inlineStr">
        <is>
          <t>FARMACIA ZORRILLA</t>
        </is>
      </c>
      <c r="C640" s="14" t="inlineStr">
        <is>
          <t>Farmacias</t>
        </is>
      </c>
      <c r="D640" s="14" t="inlineStr">
        <is>
          <t>Farmacias</t>
        </is>
      </c>
      <c r="E640" s="19" t="n">
        <v>176</v>
      </c>
      <c r="F640" s="19" t="n">
        <v>4069</v>
      </c>
      <c r="G640" s="21" t="inlineStr">
        <is>
          <t>https://guiarsanrafael.com.ar/empresa/farmacia-zorrilla/</t>
        </is>
      </c>
    </row>
    <row r="641">
      <c r="A641" s="22" t="n">
        <v>640</v>
      </c>
      <c r="B641" s="23" t="inlineStr">
        <is>
          <t>FARMCACIA 16 HORAS Dean Funes</t>
        </is>
      </c>
      <c r="C641" s="12" t="inlineStr">
        <is>
          <t>Farmacias</t>
        </is>
      </c>
      <c r="D641" s="12" t="inlineStr">
        <is>
          <t>Farmacias</t>
        </is>
      </c>
      <c r="E641" s="22" t="n">
        <v>176</v>
      </c>
      <c r="F641" s="22" t="n">
        <v>4073</v>
      </c>
      <c r="G641" s="24" t="inlineStr">
        <is>
          <t>https://guiarsanrafael.com.ar/empresa/farmcacia-16-horas-dean-funes/</t>
        </is>
      </c>
    </row>
    <row r="642">
      <c r="A642" s="19" t="n">
        <v>641</v>
      </c>
      <c r="B642" s="20" t="inlineStr">
        <is>
          <t>FAS Electricidad</t>
        </is>
      </c>
      <c r="C642" s="14" t="inlineStr">
        <is>
          <t>Electricidad iluminacion</t>
        </is>
      </c>
      <c r="D642" s="14" t="inlineStr">
        <is>
          <t>Electricidad</t>
        </is>
      </c>
      <c r="E642" s="19" t="n">
        <v>162</v>
      </c>
      <c r="F642" s="19" t="n">
        <v>5121</v>
      </c>
      <c r="G642" s="21" t="inlineStr">
        <is>
          <t>https://guiarsanrafael.com.ar/empresa/fas-electricidad/</t>
        </is>
      </c>
    </row>
    <row r="643">
      <c r="A643" s="22" t="n">
        <v>642</v>
      </c>
      <c r="B643" s="23" t="inlineStr">
        <is>
          <t>FATMAX ALEAGA</t>
        </is>
      </c>
      <c r="C643" s="12" t="inlineStr">
        <is>
          <t>Autopartes</t>
        </is>
      </c>
      <c r="D643" s="12" t="inlineStr">
        <is>
          <t>Autopartes</t>
        </is>
      </c>
      <c r="E643" s="22" t="n">
        <v>75</v>
      </c>
      <c r="F643" s="22" t="n">
        <v>8403</v>
      </c>
      <c r="G643" s="24" t="inlineStr">
        <is>
          <t>https://guiarsanrafael.com.ar/empresa/fatmax-aleaga/</t>
        </is>
      </c>
    </row>
    <row r="644">
      <c r="A644" s="19" t="n">
        <v>643</v>
      </c>
      <c r="B644" s="20" t="inlineStr">
        <is>
          <t>FAUSTO CERRUTI</t>
        </is>
      </c>
      <c r="C644" s="14" t="inlineStr">
        <is>
          <t>Cardiologia medico cardiologo</t>
        </is>
      </c>
      <c r="D644" s="14" t="inlineStr">
        <is>
          <t>Cardiologia</t>
        </is>
      </c>
      <c r="E644" s="19" t="n">
        <v>164</v>
      </c>
      <c r="F644" s="19" t="n">
        <v>5041</v>
      </c>
      <c r="G644" s="21" t="inlineStr">
        <is>
          <t>https://guiarsanrafael.com.ar/empresa/fausto-cerruti/</t>
        </is>
      </c>
    </row>
    <row r="645">
      <c r="A645" s="22" t="n">
        <v>644</v>
      </c>
      <c r="B645" s="23" t="inlineStr">
        <is>
          <t>FAX Hiperlibrería</t>
        </is>
      </c>
      <c r="C645" s="12" t="inlineStr">
        <is>
          <t>Librerias</t>
        </is>
      </c>
      <c r="D645" s="12" t="inlineStr">
        <is>
          <t>Librerias</t>
        </is>
      </c>
      <c r="E645" s="22" t="n">
        <v>88</v>
      </c>
      <c r="F645" s="22" t="n">
        <v>8004</v>
      </c>
      <c r="G645" s="24" t="inlineStr">
        <is>
          <t>https://guiarsanrafael.com.ar/empresa/fax-hiperlibreria/</t>
        </is>
      </c>
    </row>
    <row r="646">
      <c r="A646" s="19" t="n">
        <v>645</v>
      </c>
      <c r="B646" s="20" t="inlineStr">
        <is>
          <t>FEAT &amp; KI Instituto Terapéutico</t>
        </is>
      </c>
      <c r="C646" s="14" t="inlineStr">
        <is>
          <t>Centro de rehabilitacion</t>
        </is>
      </c>
      <c r="D646" s="14" t="inlineStr">
        <is>
          <t>Centro de rehabilitacion</t>
        </is>
      </c>
      <c r="E646" s="19" t="n">
        <v>7</v>
      </c>
      <c r="F646" s="19" t="n">
        <v>14336</v>
      </c>
      <c r="G646" s="21" t="inlineStr">
        <is>
          <t>https://guiarsanrafael.com.ar/empresa/featyki-instituto-terapeutico/</t>
        </is>
      </c>
    </row>
    <row r="647">
      <c r="A647" s="22" t="n">
        <v>646</v>
      </c>
      <c r="B647" s="23" t="inlineStr">
        <is>
          <t>FEDERICO PÉREZ PESCE</t>
        </is>
      </c>
      <c r="C647" s="12" t="inlineStr">
        <is>
          <t>Kinesiologia y fisioterapia</t>
        </is>
      </c>
      <c r="D647" s="12" t="inlineStr">
        <is>
          <t>Kinesiologia y fisioterapia</t>
        </is>
      </c>
      <c r="E647" s="22" t="n">
        <v>129</v>
      </c>
      <c r="F647" s="22" t="n">
        <v>6422</v>
      </c>
      <c r="G647" s="24" t="inlineStr">
        <is>
          <t>https://guiarsanrafael.com.ar/empresa/federico-perez-pesce/</t>
        </is>
      </c>
    </row>
    <row r="648">
      <c r="A648" s="19" t="n">
        <v>647</v>
      </c>
      <c r="B648" s="20" t="inlineStr">
        <is>
          <t>FEISAL Alfajores Artesanales</t>
        </is>
      </c>
      <c r="C648" s="14" t="inlineStr">
        <is>
          <t>Chocolateria</t>
        </is>
      </c>
      <c r="D648" s="14" t="inlineStr">
        <is>
          <t>Chocolateria</t>
        </is>
      </c>
      <c r="E648" s="19" t="n">
        <v>35</v>
      </c>
      <c r="F648" s="19" t="n">
        <v>10344</v>
      </c>
      <c r="G648" s="21" t="inlineStr">
        <is>
          <t>https://guiarsanrafael.com.ar/empresa/feisal-alfajores-artesanales/</t>
        </is>
      </c>
    </row>
    <row r="649">
      <c r="A649" s="22" t="n">
        <v>648</v>
      </c>
      <c r="B649" s="23" t="inlineStr">
        <is>
          <t>FELI ALIMENTOS PARA CELIACOS</t>
        </is>
      </c>
      <c r="C649" s="12" t="inlineStr">
        <is>
          <t>Almacen celiaco</t>
        </is>
      </c>
      <c r="D649" s="12" t="inlineStr">
        <is>
          <t>Almacen celiaco</t>
        </is>
      </c>
      <c r="E649" s="22" t="n">
        <v>55</v>
      </c>
      <c r="F649" s="22" t="n">
        <v>9234</v>
      </c>
      <c r="G649" s="24" t="inlineStr">
        <is>
          <t>https://guiarsanrafael.com.ar/empresa/feli-alimentos-para-celiacos/</t>
        </is>
      </c>
    </row>
    <row r="650">
      <c r="A650" s="19" t="n">
        <v>649</v>
      </c>
      <c r="B650" s="20" t="inlineStr">
        <is>
          <t>Felisa Terrero</t>
        </is>
      </c>
      <c r="C650" s="14" t="inlineStr">
        <is>
          <t>Nutricion nutricionistas</t>
        </is>
      </c>
      <c r="D650" s="14" t="inlineStr">
        <is>
          <t>Nutricionistas</t>
        </is>
      </c>
      <c r="E650" s="19" t="n">
        <v>148</v>
      </c>
      <c r="F650" s="19" t="n">
        <v>5437</v>
      </c>
      <c r="G650" s="21" t="inlineStr">
        <is>
          <t>https://guiarsanrafael.com.ar/empresa/felisa-terrero/</t>
        </is>
      </c>
    </row>
    <row r="651">
      <c r="A651" s="22" t="n">
        <v>650</v>
      </c>
      <c r="B651" s="23" t="inlineStr">
        <is>
          <t>FENIX Libreria</t>
        </is>
      </c>
      <c r="C651" s="12" t="inlineStr">
        <is>
          <t>Librerias</t>
        </is>
      </c>
      <c r="D651" s="12" t="inlineStr">
        <is>
          <t>Librerias</t>
        </is>
      </c>
      <c r="E651" s="22" t="n">
        <v>88</v>
      </c>
      <c r="F651" s="22" t="n">
        <v>8013</v>
      </c>
      <c r="G651" s="24" t="inlineStr">
        <is>
          <t>https://guiarsanrafael.com.ar/empresa/fenix-libreria/</t>
        </is>
      </c>
    </row>
    <row r="652">
      <c r="A652" s="19" t="n">
        <v>651</v>
      </c>
      <c r="B652" s="20" t="inlineStr">
        <is>
          <t>FERNADO FUENTES BONTHOUX</t>
        </is>
      </c>
      <c r="C652" s="14" t="inlineStr">
        <is>
          <t>Cirujanos cirugia</t>
        </is>
      </c>
      <c r="D652" s="14" t="inlineStr">
        <is>
          <t>Cirujanos</t>
        </is>
      </c>
      <c r="E652" s="19" t="n">
        <v>161</v>
      </c>
      <c r="F652" s="19" t="n">
        <v>5233</v>
      </c>
      <c r="G652" s="21" t="inlineStr">
        <is>
          <t>https://guiarsanrafael.com.ar/empresa/fernado-fuentes/</t>
        </is>
      </c>
    </row>
    <row r="653">
      <c r="A653" s="22" t="n">
        <v>652</v>
      </c>
      <c r="B653" s="23" t="inlineStr">
        <is>
          <t>FERNANDEZ Gerardo Antonio</t>
        </is>
      </c>
      <c r="C653" s="12" t="inlineStr">
        <is>
          <t>Escribanias escribanos escribanas mandatario mandataria notarios notarias</t>
        </is>
      </c>
      <c r="D653" s="12" t="inlineStr">
        <is>
          <t>Escribanias</t>
        </is>
      </c>
      <c r="E653" s="22" t="n">
        <v>84</v>
      </c>
      <c r="F653" s="22" t="n">
        <v>8179</v>
      </c>
      <c r="G653" s="24" t="inlineStr">
        <is>
          <t>https://guiarsanrafael.com.ar/empresa/fernandez-gerardo-antonio/</t>
        </is>
      </c>
    </row>
    <row r="654">
      <c r="A654" s="19" t="n">
        <v>653</v>
      </c>
      <c r="B654" s="20" t="inlineStr">
        <is>
          <t>FERNANDO ARANCIBIA</t>
        </is>
      </c>
      <c r="C654" s="14" t="inlineStr">
        <is>
          <t>Cirujia cirujano</t>
        </is>
      </c>
      <c r="D654" s="14" t="inlineStr">
        <is>
          <t>Cirugia general</t>
        </is>
      </c>
      <c r="E654" s="19" t="n">
        <v>164</v>
      </c>
      <c r="F654" s="19" t="n">
        <v>5053</v>
      </c>
      <c r="G654" s="21" t="inlineStr">
        <is>
          <t>https://guiarsanrafael.com.ar/empresa/fernando-arancibia/</t>
        </is>
      </c>
    </row>
    <row r="655">
      <c r="A655" s="22" t="n">
        <v>654</v>
      </c>
      <c r="B655" s="23" t="inlineStr">
        <is>
          <t>FERNANDO SUTTER</t>
        </is>
      </c>
      <c r="C655" s="12" t="inlineStr">
        <is>
          <t>Contadores estudios contables</t>
        </is>
      </c>
      <c r="D655" s="12" t="inlineStr">
        <is>
          <t>Contadores</t>
        </is>
      </c>
      <c r="E655" s="22" t="n">
        <v>131</v>
      </c>
      <c r="F655" s="22" t="n">
        <v>6299</v>
      </c>
      <c r="G655" s="24" t="inlineStr">
        <is>
          <t>https://guiarsanrafael.com.ar/empresa/fernando-sutter/</t>
        </is>
      </c>
    </row>
    <row r="656">
      <c r="A656" s="19" t="n">
        <v>655</v>
      </c>
      <c r="B656" s="20" t="inlineStr">
        <is>
          <t>Fernández Scarponi Anabel</t>
        </is>
      </c>
      <c r="C656" s="14" t="inlineStr">
        <is>
          <t>Abogados abogadas estudios juridicos</t>
        </is>
      </c>
      <c r="D656" s="14" t="inlineStr">
        <is>
          <t>Abogadas</t>
        </is>
      </c>
      <c r="E656" s="19" t="n">
        <v>115</v>
      </c>
      <c r="F656" s="19" t="n">
        <v>7168</v>
      </c>
      <c r="G656" s="21" t="inlineStr">
        <is>
          <t>https://guiarsanrafael.com.ar/empresa/fernandez-scarponi-anabel/</t>
        </is>
      </c>
    </row>
    <row r="657">
      <c r="A657" s="22" t="n">
        <v>656</v>
      </c>
      <c r="B657" s="23" t="inlineStr">
        <is>
          <t>FERRETERIA LAS CHICAS</t>
        </is>
      </c>
      <c r="C657" s="12" t="inlineStr">
        <is>
          <t>Ferreterias herramientas</t>
        </is>
      </c>
      <c r="D657" s="12" t="inlineStr">
        <is>
          <t>Ferreterias</t>
        </is>
      </c>
      <c r="E657" s="22" t="n">
        <v>7</v>
      </c>
      <c r="F657" s="22" t="n">
        <v>14323</v>
      </c>
      <c r="G657" s="24" t="inlineStr">
        <is>
          <t>https://guiarsanrafael.com.ar/empresa/ferreteria-las-chicas/</t>
        </is>
      </c>
    </row>
    <row r="658">
      <c r="A658" s="19" t="n">
        <v>657</v>
      </c>
      <c r="B658" s="20" t="inlineStr">
        <is>
          <t>FERRETERIA MOYA</t>
        </is>
      </c>
      <c r="C658" s="14" t="inlineStr">
        <is>
          <t>Ferreterias herramientas</t>
        </is>
      </c>
      <c r="D658" s="14" t="inlineStr">
        <is>
          <t>Ferreterias</t>
        </is>
      </c>
      <c r="E658" s="19" t="n">
        <v>11</v>
      </c>
      <c r="F658" s="19" t="n">
        <v>13332</v>
      </c>
      <c r="G658" s="21" t="inlineStr">
        <is>
          <t>https://guiarsanrafael.com.ar/empresa/ferreteria-moya/</t>
        </is>
      </c>
    </row>
    <row r="659">
      <c r="A659" s="22" t="n">
        <v>658</v>
      </c>
      <c r="B659" s="23" t="inlineStr">
        <is>
          <t>FERRETERIA SAN MARTIN</t>
        </is>
      </c>
      <c r="C659" s="12" t="inlineStr">
        <is>
          <t>Electricidad iluminacion</t>
        </is>
      </c>
      <c r="D659" s="12" t="inlineStr">
        <is>
          <t>Electricidad</t>
        </is>
      </c>
      <c r="E659" s="22" t="n">
        <v>89</v>
      </c>
      <c r="F659" s="22" t="n">
        <v>7985</v>
      </c>
      <c r="G659" s="24" t="inlineStr">
        <is>
          <t>https://guiarsanrafael.com.ar/empresa/ferreteria-san-martin/</t>
        </is>
      </c>
    </row>
    <row r="660">
      <c r="A660" s="19" t="n">
        <v>659</v>
      </c>
      <c r="B660" s="20" t="inlineStr">
        <is>
          <t>FERRETERIA VILLALOBOS</t>
        </is>
      </c>
      <c r="C660" s="14" t="inlineStr">
        <is>
          <t>Ferreterias herramientas</t>
        </is>
      </c>
      <c r="D660" s="14" t="inlineStr">
        <is>
          <t>Ferreterias</t>
        </is>
      </c>
      <c r="E660" s="19" t="n">
        <v>167</v>
      </c>
      <c r="F660" s="19" t="n">
        <v>4843</v>
      </c>
      <c r="G660" s="21" t="inlineStr">
        <is>
          <t>https://guiarsanrafael.com.ar/empresa/ferreteria-villalobos-2/</t>
        </is>
      </c>
    </row>
    <row r="661">
      <c r="A661" s="22" t="n">
        <v>660</v>
      </c>
      <c r="B661" s="23" t="inlineStr">
        <is>
          <t>Ferretería Todo un Palo</t>
        </is>
      </c>
      <c r="C661" s="12" t="inlineStr">
        <is>
          <t>Ferreterias herramientas</t>
        </is>
      </c>
      <c r="D661" s="12" t="inlineStr">
        <is>
          <t>Ferreterias</t>
        </is>
      </c>
      <c r="E661" s="22" t="n">
        <v>89</v>
      </c>
      <c r="F661" s="22" t="n">
        <v>7990</v>
      </c>
      <c r="G661" s="24" t="inlineStr">
        <is>
          <t>https://guiarsanrafael.com.ar/empresa/ferreteria-todo-un-palo/</t>
        </is>
      </c>
    </row>
    <row r="662">
      <c r="A662" s="19" t="n">
        <v>661</v>
      </c>
      <c r="B662" s="20" t="inlineStr">
        <is>
          <t>Ferretería Yrigoyen</t>
        </is>
      </c>
      <c r="C662" s="14" t="inlineStr">
        <is>
          <t>Ferreterias herramientas</t>
        </is>
      </c>
      <c r="D662" s="14" t="inlineStr">
        <is>
          <t>Ferreterias</t>
        </is>
      </c>
      <c r="E662" s="19" t="n">
        <v>89</v>
      </c>
      <c r="F662" s="19" t="n">
        <v>7987</v>
      </c>
      <c r="G662" s="21" t="inlineStr">
        <is>
          <t>https://guiarsanrafael.com.ar/empresa/ferreteria-yrigoyen/</t>
        </is>
      </c>
    </row>
    <row r="663">
      <c r="A663" s="22" t="n">
        <v>662</v>
      </c>
      <c r="B663" s="23" t="inlineStr">
        <is>
          <t>FERTRAC S.A. Fernando Terroba</t>
        </is>
      </c>
      <c r="C663" s="12" t="inlineStr">
        <is>
          <t>Maquinarias agricolas</t>
        </is>
      </c>
      <c r="D663" s="12" t="inlineStr">
        <is>
          <t>Maquinarias agricolas</t>
        </is>
      </c>
      <c r="E663" s="22" t="n">
        <v>70</v>
      </c>
      <c r="F663" s="22" t="n">
        <v>8470</v>
      </c>
      <c r="G663" s="24" t="inlineStr">
        <is>
          <t>https://guiarsanrafael.com.ar/empresa/fertrac-s-a-fernando-terroba/</t>
        </is>
      </c>
    </row>
    <row r="664">
      <c r="A664" s="19" t="n">
        <v>663</v>
      </c>
      <c r="B664" s="20" t="inlineStr">
        <is>
          <t>FG SERVICIOS</t>
        </is>
      </c>
      <c r="C664" s="14" t="inlineStr">
        <is>
          <t>Diagnostico computarizado mecanica</t>
        </is>
      </c>
      <c r="D664" s="14" t="inlineStr">
        <is>
          <t>Diagnostico computarizado</t>
        </is>
      </c>
      <c r="E664" s="19" t="n">
        <v>166</v>
      </c>
      <c r="F664" s="19" t="n">
        <v>4916</v>
      </c>
      <c r="G664" s="21" t="inlineStr">
        <is>
          <t>https://guiarsanrafael.com.ar/empresa/fg-servicios/</t>
        </is>
      </c>
    </row>
    <row r="665">
      <c r="A665" s="22" t="n">
        <v>664</v>
      </c>
      <c r="B665" s="23" t="inlineStr">
        <is>
          <t>FGH</t>
        </is>
      </c>
      <c r="C665" s="12" t="inlineStr">
        <is>
          <t>Materiales de construccion</t>
        </is>
      </c>
      <c r="D665" s="12" t="inlineStr">
        <is>
          <t>Corralones</t>
        </is>
      </c>
      <c r="E665" s="22" t="n">
        <v>182</v>
      </c>
      <c r="F665" s="22" t="n">
        <v>7917</v>
      </c>
      <c r="G665" s="24" t="inlineStr">
        <is>
          <t>https://guiarsanrafael.com.ar/empresa/fgh/</t>
        </is>
      </c>
    </row>
    <row r="666">
      <c r="A666" s="19" t="n">
        <v>665</v>
      </c>
      <c r="B666" s="20" t="inlineStr">
        <is>
          <t>FIAMBRERIA ARGENTO</t>
        </is>
      </c>
      <c r="C666" s="14" t="inlineStr">
        <is>
          <t>Fiambrerias</t>
        </is>
      </c>
      <c r="D666" s="14" t="inlineStr">
        <is>
          <t>Fiamfreria</t>
        </is>
      </c>
      <c r="E666" s="19" t="n">
        <v>3</v>
      </c>
      <c r="F666" s="19" t="n">
        <v>14790</v>
      </c>
      <c r="G666" s="21" t="inlineStr">
        <is>
          <t>https://guiarsanrafael.com.ar/empresa/fiambreria-argento/</t>
        </is>
      </c>
    </row>
    <row r="667">
      <c r="A667" s="22" t="n">
        <v>666</v>
      </c>
      <c r="B667" s="23" t="inlineStr">
        <is>
          <t>FIAMMA ESTÉTICA</t>
        </is>
      </c>
      <c r="C667" s="12" t="inlineStr">
        <is>
          <t>Centro de estetica</t>
        </is>
      </c>
      <c r="D667" s="12" t="inlineStr">
        <is>
          <t>Centro de estetica</t>
        </is>
      </c>
      <c r="E667" s="22" t="n">
        <v>122</v>
      </c>
      <c r="F667" s="22" t="n">
        <v>6948</v>
      </c>
      <c r="G667" s="24" t="inlineStr">
        <is>
          <t>https://guiarsanrafael.com.ar/empresa/fiamma-estetica/</t>
        </is>
      </c>
    </row>
    <row r="668">
      <c r="A668" s="19" t="n">
        <v>667</v>
      </c>
      <c r="B668" s="20" t="inlineStr">
        <is>
          <t>Figueroa Scandella	Fabiola Vanesa</t>
        </is>
      </c>
      <c r="C668" s="14" t="inlineStr">
        <is>
          <t>Abogados abogadas estudios juridicos</t>
        </is>
      </c>
      <c r="D668" s="14" t="inlineStr">
        <is>
          <t>Abogadas</t>
        </is>
      </c>
      <c r="E668" s="19" t="n">
        <v>111</v>
      </c>
      <c r="F668" s="19" t="n">
        <v>7214</v>
      </c>
      <c r="G668" s="21" t="inlineStr">
        <is>
          <t>https://guiarsanrafael.com.ar/empresa/figueroa-scandellafabiola-vanesa/</t>
        </is>
      </c>
    </row>
    <row r="669">
      <c r="A669" s="22" t="n">
        <v>668</v>
      </c>
      <c r="B669" s="23" t="inlineStr">
        <is>
          <t>Finca Intimayu</t>
        </is>
      </c>
      <c r="C669" s="12" t="inlineStr">
        <is>
          <t>Bodegas vinedos fincas</t>
        </is>
      </c>
      <c r="D669" s="12" t="inlineStr">
        <is>
          <t>Bodegas y vinedos</t>
        </is>
      </c>
      <c r="E669" s="22" t="n">
        <v>46</v>
      </c>
      <c r="F669" s="22" t="n">
        <v>9445</v>
      </c>
      <c r="G669" s="24" t="inlineStr">
        <is>
          <t>https://guiarsanrafael.com.ar/empresa/finca-intimayu/</t>
        </is>
      </c>
    </row>
    <row r="670">
      <c r="A670" s="19" t="n">
        <v>669</v>
      </c>
      <c r="B670" s="20" t="inlineStr">
        <is>
          <t>Finca La Escondida</t>
        </is>
      </c>
      <c r="C670" s="14" t="inlineStr">
        <is>
          <t>Apar thotel</t>
        </is>
      </c>
      <c r="D670" s="14" t="inlineStr">
        <is>
          <t>Apart hotel</t>
        </is>
      </c>
      <c r="E670" s="19" t="n">
        <v>59</v>
      </c>
      <c r="F670" s="19" t="n">
        <v>8909</v>
      </c>
      <c r="G670" s="21" t="inlineStr">
        <is>
          <t>https://guiarsanrafael.com.ar/empresa/finca-la-escondida/</t>
        </is>
      </c>
    </row>
    <row r="671">
      <c r="A671" s="22" t="n">
        <v>670</v>
      </c>
      <c r="B671" s="23" t="inlineStr">
        <is>
          <t>Fiochetti	Mayra Yanina</t>
        </is>
      </c>
      <c r="C671" s="12" t="inlineStr">
        <is>
          <t>Abogados abogadas estudios juridicos</t>
        </is>
      </c>
      <c r="D671" s="12" t="inlineStr">
        <is>
          <t>Abogadas</t>
        </is>
      </c>
      <c r="E671" s="22" t="n">
        <v>112</v>
      </c>
      <c r="F671" s="22" t="n">
        <v>7196</v>
      </c>
      <c r="G671" s="24" t="inlineStr">
        <is>
          <t>https://guiarsanrafael.com.ar/empresa/fiochettimayra-yanina/</t>
        </is>
      </c>
    </row>
    <row r="672">
      <c r="A672" s="19" t="n">
        <v>671</v>
      </c>
      <c r="B672" s="20" t="inlineStr">
        <is>
          <t>FIT CLUB</t>
        </is>
      </c>
      <c r="C672" s="14" t="inlineStr">
        <is>
          <t>Gimnasios gym</t>
        </is>
      </c>
      <c r="D672" s="14" t="inlineStr">
        <is>
          <t>Gimnasios</t>
        </is>
      </c>
      <c r="E672" s="19" t="n">
        <v>39</v>
      </c>
      <c r="F672" s="19" t="n">
        <v>10194</v>
      </c>
      <c r="G672" s="21" t="inlineStr">
        <is>
          <t>https://guiarsanrafael.com.ar/empresa/fit-club/</t>
        </is>
      </c>
    </row>
    <row r="673">
      <c r="A673" s="22" t="n">
        <v>672</v>
      </c>
      <c r="B673" s="23" t="inlineStr">
        <is>
          <t>Flavio Morganti</t>
        </is>
      </c>
      <c r="C673" s="12" t="inlineStr">
        <is>
          <t>Odontologia</t>
        </is>
      </c>
      <c r="D673" s="12" t="inlineStr">
        <is>
          <t>Odontologia</t>
        </is>
      </c>
      <c r="E673" s="22" t="n">
        <v>102</v>
      </c>
      <c r="F673" s="22" t="n">
        <v>7397</v>
      </c>
      <c r="G673" s="24" t="inlineStr">
        <is>
          <t>https://guiarsanrafael.com.ar/empresa/flavio-morganti/</t>
        </is>
      </c>
    </row>
    <row r="674">
      <c r="A674" s="19" t="n">
        <v>673</v>
      </c>
      <c r="B674" s="20" t="inlineStr">
        <is>
          <t>Fliguer Albornoz Guillermo Andrés</t>
        </is>
      </c>
      <c r="C674" s="14" t="inlineStr">
        <is>
          <t>Abogados abogadas estudios juridicos</t>
        </is>
      </c>
      <c r="D674" s="14" t="inlineStr">
        <is>
          <t>Abogados</t>
        </is>
      </c>
      <c r="E674" s="19" t="n">
        <v>108</v>
      </c>
      <c r="F674" s="19" t="n">
        <v>7255</v>
      </c>
      <c r="G674" s="21" t="inlineStr">
        <is>
          <t>https://guiarsanrafael.com.ar/empresa/fliguer-albornoz-guillermo-andres/</t>
        </is>
      </c>
    </row>
    <row r="675">
      <c r="A675" s="22" t="n">
        <v>674</v>
      </c>
      <c r="B675" s="23" t="inlineStr">
        <is>
          <t>FLORENCIA ALOSSI</t>
        </is>
      </c>
      <c r="C675" s="12" t="inlineStr">
        <is>
          <t>Odontologia</t>
        </is>
      </c>
      <c r="D675" s="12" t="inlineStr">
        <is>
          <t>Odontologia</t>
        </is>
      </c>
      <c r="E675" s="22" t="n">
        <v>126</v>
      </c>
      <c r="F675" s="22" t="n">
        <v>6634</v>
      </c>
      <c r="G675" s="24" t="inlineStr">
        <is>
          <t>https://guiarsanrafael.com.ar/empresa/florencia-alossi/</t>
        </is>
      </c>
    </row>
    <row r="676">
      <c r="A676" s="19" t="n">
        <v>675</v>
      </c>
      <c r="B676" s="20" t="inlineStr">
        <is>
          <t>Florencia Diaz</t>
        </is>
      </c>
      <c r="C676" s="14" t="inlineStr">
        <is>
          <t>Odontologia</t>
        </is>
      </c>
      <c r="D676" s="14" t="inlineStr">
        <is>
          <t>Odontologia</t>
        </is>
      </c>
      <c r="E676" s="19" t="n">
        <v>103</v>
      </c>
      <c r="F676" s="19" t="n">
        <v>7377</v>
      </c>
      <c r="G676" s="21" t="inlineStr">
        <is>
          <t>https://guiarsanrafael.com.ar/empresa/florencia-diaz/</t>
        </is>
      </c>
    </row>
    <row r="677">
      <c r="A677" s="22" t="n">
        <v>676</v>
      </c>
      <c r="B677" s="23" t="inlineStr">
        <is>
          <t>Florencia Julio</t>
        </is>
      </c>
      <c r="C677" s="12" t="inlineStr">
        <is>
          <t>Nutricion nutricionistas</t>
        </is>
      </c>
      <c r="D677" s="12" t="inlineStr">
        <is>
          <t>Nutricionistas</t>
        </is>
      </c>
      <c r="E677" s="22" t="n">
        <v>149</v>
      </c>
      <c r="F677" s="22" t="n">
        <v>5428</v>
      </c>
      <c r="G677" s="24" t="inlineStr">
        <is>
          <t>https://guiarsanrafael.com.ar/empresa/florencia-julio/</t>
        </is>
      </c>
    </row>
    <row r="678">
      <c r="A678" s="19" t="n">
        <v>677</v>
      </c>
      <c r="B678" s="20" t="inlineStr">
        <is>
          <t>FLORENCIA QUIROGA Estilista</t>
        </is>
      </c>
      <c r="C678" s="14" t="inlineStr">
        <is>
          <t>Estilistas peluqueria barberias</t>
        </is>
      </c>
      <c r="D678" s="14" t="inlineStr">
        <is>
          <t>Estilistas</t>
        </is>
      </c>
      <c r="E678" s="19" t="n">
        <v>168</v>
      </c>
      <c r="F678" s="19" t="n">
        <v>4738</v>
      </c>
      <c r="G678" s="21" t="inlineStr">
        <is>
          <t>https://guiarsanrafael.com.ar/empresa/florencia-quiroga-estilista/</t>
        </is>
      </c>
    </row>
    <row r="679">
      <c r="A679" s="22" t="n">
        <v>678</v>
      </c>
      <c r="B679" s="23" t="inlineStr">
        <is>
          <t>Florencia Romani</t>
        </is>
      </c>
      <c r="C679" s="12" t="inlineStr">
        <is>
          <t>Kinesiologia y fisioterapia</t>
        </is>
      </c>
      <c r="D679" s="12" t="inlineStr">
        <is>
          <t>Kinesiologia y fisioterapia</t>
        </is>
      </c>
      <c r="E679" s="22" t="n">
        <v>152</v>
      </c>
      <c r="F679" s="22" t="n">
        <v>5397</v>
      </c>
      <c r="G679" s="24" t="inlineStr">
        <is>
          <t>https://guiarsanrafael.com.ar/empresa/florencia-romani/</t>
        </is>
      </c>
    </row>
    <row r="680">
      <c r="A680" s="19" t="n">
        <v>679</v>
      </c>
      <c r="B680" s="20" t="inlineStr">
        <is>
          <t>FLORENCIA SANCHEZ</t>
        </is>
      </c>
      <c r="C680" s="14" t="inlineStr">
        <is>
          <t>Centro de rehabilitacion</t>
        </is>
      </c>
      <c r="D680" s="14" t="inlineStr">
        <is>
          <t>Centro de rehabilitacion</t>
        </is>
      </c>
      <c r="E680" s="19" t="n">
        <v>18</v>
      </c>
      <c r="F680" s="19" t="n">
        <v>12418</v>
      </c>
      <c r="G680" s="21" t="inlineStr">
        <is>
          <t>https://guiarsanrafael.com.ar/empresa/florencia-sanchez/</t>
        </is>
      </c>
    </row>
    <row r="681">
      <c r="A681" s="22" t="n">
        <v>680</v>
      </c>
      <c r="B681" s="23" t="inlineStr">
        <is>
          <t>FLORENCIA VIZCAINO</t>
        </is>
      </c>
      <c r="C681" s="12" t="inlineStr">
        <is>
          <t>Neumonologia</t>
        </is>
      </c>
      <c r="D681" s="12" t="inlineStr">
        <is>
          <t>Neumonologia</t>
        </is>
      </c>
      <c r="E681" s="22" t="n">
        <v>1</v>
      </c>
      <c r="F681" s="22" t="n">
        <v>15122</v>
      </c>
      <c r="G681" s="24" t="inlineStr">
        <is>
          <t>https://guiarsanrafael.com.ar/empresa/florencia-vizcaino/</t>
        </is>
      </c>
    </row>
    <row r="682">
      <c r="A682" s="19" t="n">
        <v>681</v>
      </c>
      <c r="B682" s="20" t="inlineStr">
        <is>
          <t>FLORES SUHÉ</t>
        </is>
      </c>
      <c r="C682" s="14" t="inlineStr">
        <is>
          <t>Florerias jardineria</t>
        </is>
      </c>
      <c r="D682" s="14" t="inlineStr">
        <is>
          <t>Florerias</t>
        </is>
      </c>
      <c r="E682" s="19" t="n">
        <v>8</v>
      </c>
      <c r="F682" s="19" t="n">
        <v>13999</v>
      </c>
      <c r="G682" s="21" t="inlineStr">
        <is>
          <t>https://guiarsanrafael.com.ar/empresa/flores-suhe/</t>
        </is>
      </c>
    </row>
    <row r="683">
      <c r="A683" s="22" t="n">
        <v>682</v>
      </c>
      <c r="B683" s="23" t="inlineStr">
        <is>
          <t>FMG Lubricantes</t>
        </is>
      </c>
      <c r="C683" s="12" t="inlineStr">
        <is>
          <t>Accesorios para el aumomotor</t>
        </is>
      </c>
      <c r="D683" s="12" t="inlineStr">
        <is>
          <t>Estetica vehicular</t>
        </is>
      </c>
      <c r="E683" s="22" t="n">
        <v>48</v>
      </c>
      <c r="F683" s="22" t="n">
        <v>9340</v>
      </c>
      <c r="G683" s="24" t="inlineStr">
        <is>
          <t>https://guiarsanrafael.com.ar/empresa/fmg-lubricantes/</t>
        </is>
      </c>
    </row>
    <row r="684">
      <c r="A684" s="19" t="n">
        <v>683</v>
      </c>
      <c r="B684" s="20" t="inlineStr">
        <is>
          <t>FMG Racing Cars</t>
        </is>
      </c>
      <c r="C684" s="14" t="inlineStr">
        <is>
          <t>Accesorios de competicion</t>
        </is>
      </c>
      <c r="D684" s="14" t="inlineStr">
        <is>
          <t>Accesorios de competicion</t>
        </is>
      </c>
      <c r="E684" s="19" t="n">
        <v>50</v>
      </c>
      <c r="F684" s="19" t="n">
        <v>9345</v>
      </c>
      <c r="G684" s="21" t="inlineStr">
        <is>
          <t>https://guiarsanrafael.com.ar/empresa/fmg-racing-cars/</t>
        </is>
      </c>
    </row>
    <row r="685">
      <c r="A685" s="22" t="n">
        <v>684</v>
      </c>
      <c r="B685" s="23" t="inlineStr">
        <is>
          <t>FONDO DE BIKINI Acuario</t>
        </is>
      </c>
      <c r="C685" s="12" t="inlineStr">
        <is>
          <t>Acuario tienda</t>
        </is>
      </c>
      <c r="D685" s="12" t="inlineStr">
        <is>
          <t>Acuarios</t>
        </is>
      </c>
      <c r="E685" s="22" t="n">
        <v>140</v>
      </c>
      <c r="F685" s="22" t="n">
        <v>5656</v>
      </c>
      <c r="G685" s="24" t="inlineStr">
        <is>
          <t>https://guiarsanrafael.com.ar/empresa/fondo-de-bikini-acuario/</t>
        </is>
      </c>
    </row>
    <row r="686">
      <c r="A686" s="19" t="n">
        <v>685</v>
      </c>
      <c r="B686" s="20" t="inlineStr">
        <is>
          <t>Food Park</t>
        </is>
      </c>
      <c r="C686" s="14" t="inlineStr">
        <is>
          <t>Restaurantes parrilas</t>
        </is>
      </c>
      <c r="D686" s="14" t="inlineStr">
        <is>
          <t>Restaurantes</t>
        </is>
      </c>
      <c r="E686" s="19" t="n">
        <v>36</v>
      </c>
      <c r="F686" s="19" t="n">
        <v>10270</v>
      </c>
      <c r="G686" s="21" t="inlineStr">
        <is>
          <t>https://guiarsanrafael.com.ar/empresa/food-park/</t>
        </is>
      </c>
    </row>
    <row r="687">
      <c r="A687" s="22" t="n">
        <v>686</v>
      </c>
      <c r="B687" s="23" t="inlineStr">
        <is>
          <t>FORSAT Felipe Andrés</t>
        </is>
      </c>
      <c r="C687" s="12" t="inlineStr">
        <is>
          <t>Escribanias escribanos escribanas mandatario mandataria notarios notarias</t>
        </is>
      </c>
      <c r="D687" s="12" t="inlineStr">
        <is>
          <t>Escribanias</t>
        </is>
      </c>
      <c r="E687" s="22" t="n">
        <v>84</v>
      </c>
      <c r="F687" s="22" t="n">
        <v>8180</v>
      </c>
      <c r="G687" s="24" t="inlineStr">
        <is>
          <t>https://guiarsanrafael.com.ar/empresa/forsat-felipe-andres/</t>
        </is>
      </c>
    </row>
    <row r="688">
      <c r="A688" s="19" t="n">
        <v>687</v>
      </c>
      <c r="B688" s="20" t="inlineStr">
        <is>
          <t>FRACARO Pablo Rafael</t>
        </is>
      </c>
      <c r="C688" s="14" t="inlineStr">
        <is>
          <t>Escribanias escribanos escribanas mandatario mandataria notarios notarias</t>
        </is>
      </c>
      <c r="D688" s="14" t="inlineStr">
        <is>
          <t>Escribanias</t>
        </is>
      </c>
      <c r="E688" s="19" t="n">
        <v>84</v>
      </c>
      <c r="F688" s="19" t="n">
        <v>8181</v>
      </c>
      <c r="G688" s="21" t="inlineStr">
        <is>
          <t>https://guiarsanrafael.com.ar/empresa/fracaro-pablo-rafael/</t>
        </is>
      </c>
    </row>
    <row r="689">
      <c r="A689" s="22" t="n">
        <v>688</v>
      </c>
      <c r="B689" s="23" t="inlineStr">
        <is>
          <t>FRADINAGUA s.r.l.</t>
        </is>
      </c>
      <c r="C689" s="12" t="inlineStr">
        <is>
          <t>Bombas de agua riego</t>
        </is>
      </c>
      <c r="D689" s="12" t="inlineStr">
        <is>
          <t>Bombas de agua</t>
        </is>
      </c>
      <c r="E689" s="22" t="n">
        <v>56</v>
      </c>
      <c r="F689" s="22" t="n">
        <v>9103</v>
      </c>
      <c r="G689" s="24" t="inlineStr">
        <is>
          <t>https://guiarsanrafael.com.ar/empresa/fradinagua-s-r-l/</t>
        </is>
      </c>
    </row>
    <row r="690">
      <c r="A690" s="19" t="n">
        <v>689</v>
      </c>
      <c r="B690" s="20" t="inlineStr">
        <is>
          <t>FRANCISCO JAVIER GERARDI</t>
        </is>
      </c>
      <c r="C690" s="14" t="inlineStr">
        <is>
          <t>Ginecologia y obsterticia</t>
        </is>
      </c>
      <c r="D690" s="14" t="inlineStr">
        <is>
          <t>Ginecologia y obsterticia</t>
        </is>
      </c>
      <c r="E690" s="19" t="n">
        <v>29</v>
      </c>
      <c r="F690" s="19" t="n">
        <v>11130</v>
      </c>
      <c r="G690" s="21" t="inlineStr">
        <is>
          <t>https://guiarsanrafael.com.ar/empresa/francisco-javier-gerardi/</t>
        </is>
      </c>
    </row>
    <row r="691">
      <c r="A691" s="22" t="n">
        <v>690</v>
      </c>
      <c r="B691" s="23" t="inlineStr">
        <is>
          <t>Francisco Pedrosa e Hijo</t>
        </is>
      </c>
      <c r="C691" s="12" t="inlineStr">
        <is>
          <t>(sin categoría)</t>
        </is>
      </c>
      <c r="D691" s="12" t="inlineStr">
        <is>
          <t>Mecanica del automotor</t>
        </is>
      </c>
      <c r="E691" s="22" t="n">
        <v>69</v>
      </c>
      <c r="F691" s="22" t="n">
        <v>8485</v>
      </c>
      <c r="G691" s="24" t="inlineStr">
        <is>
          <t>https://guiarsanrafael.com.ar/empresa/francisco-pedrosa-e-hijo/</t>
        </is>
      </c>
    </row>
    <row r="692">
      <c r="A692" s="19" t="n">
        <v>691</v>
      </c>
      <c r="B692" s="20" t="inlineStr">
        <is>
          <t>Franco Bellomo</t>
        </is>
      </c>
      <c r="C692" s="14" t="inlineStr">
        <is>
          <t>Clinica medica</t>
        </is>
      </c>
      <c r="D692" s="14" t="inlineStr">
        <is>
          <t>Clinica medica</t>
        </is>
      </c>
      <c r="E692" s="19" t="n">
        <v>159</v>
      </c>
      <c r="F692" s="19" t="n">
        <v>5283</v>
      </c>
      <c r="G692" s="21" t="inlineStr">
        <is>
          <t>https://guiarsanrafael.com.ar/empresa/franco-bellomo/</t>
        </is>
      </c>
    </row>
    <row r="693">
      <c r="A693" s="22" t="n">
        <v>692</v>
      </c>
      <c r="B693" s="23" t="inlineStr">
        <is>
          <t>FRANCO ROSSO</t>
        </is>
      </c>
      <c r="C693" s="12" t="inlineStr">
        <is>
          <t>Cirugia estetica</t>
        </is>
      </c>
      <c r="D693" s="12" t="inlineStr">
        <is>
          <t>Cirugia estetica</t>
        </is>
      </c>
      <c r="E693" s="22" t="n">
        <v>160</v>
      </c>
      <c r="F693" s="22" t="n">
        <v>5270</v>
      </c>
      <c r="G693" s="24" t="inlineStr">
        <is>
          <t>https://guiarsanrafael.com.ar/empresa/franco-rosso/</t>
        </is>
      </c>
    </row>
    <row r="694">
      <c r="A694" s="19" t="n">
        <v>693</v>
      </c>
      <c r="B694" s="20" t="inlineStr">
        <is>
          <t>Franco Sabio</t>
        </is>
      </c>
      <c r="C694" s="14" t="inlineStr">
        <is>
          <t>Odontologia</t>
        </is>
      </c>
      <c r="D694" s="14" t="inlineStr">
        <is>
          <t>Odontologia</t>
        </is>
      </c>
      <c r="E694" s="19" t="n">
        <v>100</v>
      </c>
      <c r="F694" s="19" t="n">
        <v>7463</v>
      </c>
      <c r="G694" s="21" t="inlineStr">
        <is>
          <t>https://guiarsanrafael.com.ar/empresa/franco-sabio/</t>
        </is>
      </c>
    </row>
    <row r="695">
      <c r="A695" s="22" t="n">
        <v>694</v>
      </c>
      <c r="B695" s="23" t="inlineStr">
        <is>
          <t>FRANCO TALLEY</t>
        </is>
      </c>
      <c r="C695" s="12" t="inlineStr">
        <is>
          <t>Traumatologia y ortopedia</t>
        </is>
      </c>
      <c r="D695" s="12" t="inlineStr">
        <is>
          <t>Traumatologia</t>
        </is>
      </c>
      <c r="E695" s="22" t="n">
        <v>127</v>
      </c>
      <c r="F695" s="22" t="n">
        <v>6546</v>
      </c>
      <c r="G695" s="24" t="inlineStr">
        <is>
          <t>https://guiarsanrafael.com.ar/empresa/franco-talley/</t>
        </is>
      </c>
    </row>
    <row r="696">
      <c r="A696" s="19" t="n">
        <v>695</v>
      </c>
      <c r="B696" s="20" t="inlineStr">
        <is>
          <t>FRENOS BOCCHIA</t>
        </is>
      </c>
      <c r="C696" s="14" t="inlineStr">
        <is>
          <t>Frenos taller repuestos</t>
        </is>
      </c>
      <c r="D696" s="14" t="inlineStr">
        <is>
          <t>Frenos</t>
        </is>
      </c>
      <c r="E696" s="19" t="n">
        <v>74</v>
      </c>
      <c r="F696" s="19" t="n">
        <v>8414</v>
      </c>
      <c r="G696" s="21" t="inlineStr">
        <is>
          <t>https://guiarsanrafael.com.ar/empresa/frenos-bocchia/</t>
        </is>
      </c>
    </row>
    <row r="697">
      <c r="A697" s="22" t="n">
        <v>696</v>
      </c>
      <c r="B697" s="23" t="inlineStr">
        <is>
          <t>FRIDA Estética Unisex</t>
        </is>
      </c>
      <c r="C697" s="12" t="inlineStr">
        <is>
          <t>Belleza de pies y manos unas nails</t>
        </is>
      </c>
      <c r="D697" s="12" t="inlineStr">
        <is>
          <t>Centro de estetica</t>
        </is>
      </c>
      <c r="E697" s="22" t="n">
        <v>24</v>
      </c>
      <c r="F697" s="22" t="n">
        <v>11867</v>
      </c>
      <c r="G697" s="24" t="inlineStr">
        <is>
          <t>https://guiarsanrafael.com.ar/empresa/frida-estetica-unisex/</t>
        </is>
      </c>
    </row>
    <row r="698">
      <c r="A698" s="19" t="n">
        <v>697</v>
      </c>
      <c r="B698" s="20" t="inlineStr">
        <is>
          <t>FRISE PACK Bolsas Ecológicas</t>
        </is>
      </c>
      <c r="C698" s="14" t="inlineStr">
        <is>
          <t>Bolsas cerigrafia ecologica</t>
        </is>
      </c>
      <c r="D698" s="14" t="inlineStr">
        <is>
          <t>Bolsas</t>
        </is>
      </c>
      <c r="E698" s="19" t="n">
        <v>42</v>
      </c>
      <c r="F698" s="19" t="n">
        <v>9790</v>
      </c>
      <c r="G698" s="21" t="inlineStr">
        <is>
          <t>https://guiarsanrafael.com.ar/empresa/frise-pack-bolsas-ecologicas/</t>
        </is>
      </c>
    </row>
    <row r="699">
      <c r="A699" s="22" t="n">
        <v>698</v>
      </c>
      <c r="B699" s="23" t="inlineStr">
        <is>
          <t>FRUSCELLA Leslie Vanina</t>
        </is>
      </c>
      <c r="C699" s="12" t="inlineStr">
        <is>
          <t>Escribanias escribanos escribanas mandatario mandataria notarios notarias</t>
        </is>
      </c>
      <c r="D699" s="12" t="inlineStr">
        <is>
          <t>Escribanas</t>
        </is>
      </c>
      <c r="E699" s="22" t="n">
        <v>84</v>
      </c>
      <c r="F699" s="22" t="n">
        <v>8182</v>
      </c>
      <c r="G699" s="24" t="inlineStr">
        <is>
          <t>https://guiarsanrafael.com.ar/empresa/fruscella-leslie-vanina/</t>
        </is>
      </c>
    </row>
    <row r="700">
      <c r="A700" s="19" t="n">
        <v>699</v>
      </c>
      <c r="B700" s="20" t="inlineStr">
        <is>
          <t>Fuentes María Noelia</t>
        </is>
      </c>
      <c r="C700" s="14" t="inlineStr">
        <is>
          <t>Abogados abogadas estudios juridicos</t>
        </is>
      </c>
      <c r="D700" s="14" t="inlineStr">
        <is>
          <t>Abogadas</t>
        </is>
      </c>
      <c r="E700" s="19" t="n">
        <v>116</v>
      </c>
      <c r="F700" s="19" t="n">
        <v>7152</v>
      </c>
      <c r="G700" s="21" t="inlineStr">
        <is>
          <t>https://guiarsanrafael.com.ar/empresa/fuentes-maria-noelia/</t>
        </is>
      </c>
    </row>
    <row r="701">
      <c r="A701" s="22" t="n">
        <v>700</v>
      </c>
      <c r="B701" s="23" t="inlineStr">
        <is>
          <t>FULL CEL Telefonía y Accesorios</t>
        </is>
      </c>
      <c r="C701" s="12" t="inlineStr">
        <is>
          <t>Accesorios de telefonia celular</t>
        </is>
      </c>
      <c r="D701" s="12" t="inlineStr">
        <is>
          <t>Accesorios de telefonia</t>
        </is>
      </c>
      <c r="E701" s="22" t="n">
        <v>9</v>
      </c>
      <c r="F701" s="22" t="n">
        <v>13863</v>
      </c>
      <c r="G701" s="24" t="inlineStr">
        <is>
          <t>https://guiarsanrafael.com.ar/empresa/full-cel-telefonia-y-accesorios/</t>
        </is>
      </c>
    </row>
    <row r="702">
      <c r="A702" s="19" t="n">
        <v>701</v>
      </c>
      <c r="B702" s="20" t="inlineStr">
        <is>
          <t>Full Track</t>
        </is>
      </c>
      <c r="C702" s="14" t="inlineStr">
        <is>
          <t>Lubricantes aceites lubricentro</t>
        </is>
      </c>
      <c r="D702" s="14" t="inlineStr">
        <is>
          <t>Lubricantes</t>
        </is>
      </c>
      <c r="E702" s="19" t="n">
        <v>49</v>
      </c>
      <c r="F702" s="19" t="n">
        <v>9352</v>
      </c>
      <c r="G702" s="21" t="inlineStr">
        <is>
          <t>https://guiarsanrafael.com.ar/empresa/full-track/</t>
        </is>
      </c>
    </row>
    <row r="703">
      <c r="A703" s="22" t="n">
        <v>702</v>
      </c>
      <c r="B703" s="23" t="inlineStr">
        <is>
          <t>Fátima Rossi</t>
        </is>
      </c>
      <c r="C703" s="12" t="inlineStr">
        <is>
          <t>Psicologia</t>
        </is>
      </c>
      <c r="D703" s="12" t="inlineStr">
        <is>
          <t>Psicologia</t>
        </is>
      </c>
      <c r="E703" s="22" t="n">
        <v>144</v>
      </c>
      <c r="F703" s="22" t="n">
        <v>5514</v>
      </c>
      <c r="G703" s="24" t="inlineStr">
        <is>
          <t>https://guiarsanrafael.com.ar/empresa/fatima-rossi/</t>
        </is>
      </c>
    </row>
    <row r="704">
      <c r="A704" s="19" t="n">
        <v>703</v>
      </c>
      <c r="B704" s="20" t="inlineStr">
        <is>
          <t>Gabriel Ferrara</t>
        </is>
      </c>
      <c r="C704" s="14" t="inlineStr">
        <is>
          <t>Neumonologia</t>
        </is>
      </c>
      <c r="D704" s="14" t="inlineStr">
        <is>
          <t>Neumonologia</t>
        </is>
      </c>
      <c r="E704" s="19" t="n">
        <v>146</v>
      </c>
      <c r="F704" s="19" t="n">
        <v>5475</v>
      </c>
      <c r="G704" s="21" t="inlineStr">
        <is>
          <t>https://guiarsanrafael.com.ar/empresa/gabriel-ferrara/</t>
        </is>
      </c>
    </row>
    <row r="705">
      <c r="A705" s="22" t="n">
        <v>704</v>
      </c>
      <c r="B705" s="23" t="inlineStr">
        <is>
          <t>Gabriela Funes</t>
        </is>
      </c>
      <c r="C705" s="12" t="inlineStr">
        <is>
          <t>Clinica medica</t>
        </is>
      </c>
      <c r="D705" s="12" t="inlineStr">
        <is>
          <t>Clinica medica</t>
        </is>
      </c>
      <c r="E705" s="22" t="n">
        <v>159</v>
      </c>
      <c r="F705" s="22" t="n">
        <v>5282</v>
      </c>
      <c r="G705" s="24" t="inlineStr">
        <is>
          <t>https://guiarsanrafael.com.ar/empresa/gabriela-funes/</t>
        </is>
      </c>
    </row>
    <row r="706">
      <c r="A706" s="19" t="n">
        <v>705</v>
      </c>
      <c r="B706" s="20" t="inlineStr">
        <is>
          <t>Gabriela Gamboa</t>
        </is>
      </c>
      <c r="C706" s="14" t="inlineStr">
        <is>
          <t>Clinica medica</t>
        </is>
      </c>
      <c r="D706" s="14" t="inlineStr">
        <is>
          <t>Clinica medica</t>
        </is>
      </c>
      <c r="E706" s="19" t="n">
        <v>159</v>
      </c>
      <c r="F706" s="19" t="n">
        <v>5285</v>
      </c>
      <c r="G706" s="21" t="inlineStr">
        <is>
          <t>https://guiarsanrafael.com.ar/empresa/gabriela-gamboa/</t>
        </is>
      </c>
    </row>
    <row r="707">
      <c r="A707" s="22" t="n">
        <v>706</v>
      </c>
      <c r="B707" s="23" t="inlineStr">
        <is>
          <t>GABRIELA MIRON</t>
        </is>
      </c>
      <c r="C707" s="12" t="inlineStr">
        <is>
          <t>Abogados abogadas estudios juridicos</t>
        </is>
      </c>
      <c r="D707" s="12" t="inlineStr">
        <is>
          <t>Abogadas</t>
        </is>
      </c>
      <c r="E707" s="22" t="n">
        <v>125</v>
      </c>
      <c r="F707" s="22" t="n">
        <v>6744</v>
      </c>
      <c r="G707" s="24" t="inlineStr">
        <is>
          <t>https://guiarsanrafael.com.ar/empresa/gabriela-miron/</t>
        </is>
      </c>
    </row>
    <row r="708">
      <c r="A708" s="19" t="n">
        <v>707</v>
      </c>
      <c r="B708" s="20" t="inlineStr">
        <is>
          <t>GABRIELA MOLINA</t>
        </is>
      </c>
      <c r="C708" s="14" t="inlineStr">
        <is>
          <t>Centro de estetica</t>
        </is>
      </c>
      <c r="D708" s="14" t="inlineStr">
        <is>
          <t>Centro de estetica</t>
        </is>
      </c>
      <c r="E708" s="19" t="n">
        <v>129</v>
      </c>
      <c r="F708" s="19" t="n">
        <v>6448</v>
      </c>
      <c r="G708" s="21" t="inlineStr">
        <is>
          <t>https://guiarsanrafael.com.ar/empresa/gabriela-molina/</t>
        </is>
      </c>
    </row>
    <row r="709">
      <c r="A709" s="22" t="n">
        <v>708</v>
      </c>
      <c r="B709" s="23" t="inlineStr">
        <is>
          <t>GAHENND Gastroenterología</t>
        </is>
      </c>
      <c r="C709" s="12" t="inlineStr">
        <is>
          <t>Gastroenterologia</t>
        </is>
      </c>
      <c r="D709" s="12" t="inlineStr">
        <is>
          <t>Gastroenterologia</t>
        </is>
      </c>
      <c r="E709" s="22" t="n">
        <v>106</v>
      </c>
      <c r="F709" s="22" t="n">
        <v>7309</v>
      </c>
      <c r="G709" s="24" t="inlineStr">
        <is>
          <t>https://guiarsanrafael.com.ar/empresa/gahennd-gastroenterologia/</t>
        </is>
      </c>
    </row>
    <row r="710">
      <c r="A710" s="19" t="n">
        <v>709</v>
      </c>
      <c r="B710" s="20" t="inlineStr">
        <is>
          <t>GALA Salud y Belleza</t>
        </is>
      </c>
      <c r="C710" s="14" t="inlineStr">
        <is>
          <t>Centro de estetica</t>
        </is>
      </c>
      <c r="D710" s="14" t="inlineStr">
        <is>
          <t>Centro de estetica</t>
        </is>
      </c>
      <c r="E710" s="19" t="n">
        <v>96</v>
      </c>
      <c r="F710" s="19" t="n">
        <v>7588</v>
      </c>
      <c r="G710" s="21" t="inlineStr">
        <is>
          <t>https://guiarsanrafael.com.ar/empresa/7588/</t>
        </is>
      </c>
    </row>
    <row r="711">
      <c r="A711" s="22" t="n">
        <v>710</v>
      </c>
      <c r="B711" s="23" t="inlineStr">
        <is>
          <t>GANABERDI Tienda para Mascotas</t>
        </is>
      </c>
      <c r="C711" s="12" t="inlineStr">
        <is>
          <t>Alimentos balanceados</t>
        </is>
      </c>
      <c r="D711" s="12" t="inlineStr">
        <is>
          <t>Alimentos balanceados</t>
        </is>
      </c>
      <c r="E711" s="22" t="n">
        <v>44</v>
      </c>
      <c r="F711" s="22" t="n">
        <v>9678</v>
      </c>
      <c r="G711" s="24" t="inlineStr">
        <is>
          <t>https://guiarsanrafael.com.ar/empresa/ganaberdi/</t>
        </is>
      </c>
    </row>
    <row r="712">
      <c r="A712" s="19" t="n">
        <v>711</v>
      </c>
      <c r="B712" s="20" t="inlineStr">
        <is>
          <t>GARCIA DUEÑAS Amoblamiento Integral de Oficinas</t>
        </is>
      </c>
      <c r="C712" s="14" t="inlineStr">
        <is>
          <t>Amoblamientos</t>
        </is>
      </c>
      <c r="D712" s="14" t="inlineStr">
        <is>
          <t>Amoblamientos</t>
        </is>
      </c>
      <c r="E712" s="19" t="n">
        <v>167</v>
      </c>
      <c r="F712" s="19" t="n">
        <v>4804</v>
      </c>
      <c r="G712" s="21" t="inlineStr">
        <is>
          <t>https://guiarsanrafael.com.ar/empresa/garcia-duenas-amoblamiento-integral-de-oficinas/</t>
        </is>
      </c>
    </row>
    <row r="713">
      <c r="A713" s="22" t="n">
        <v>712</v>
      </c>
      <c r="B713" s="23" t="inlineStr">
        <is>
          <t>GARCIA MIRAS Natalia Carolina</t>
        </is>
      </c>
      <c r="C713" s="12" t="inlineStr">
        <is>
          <t>Escribanias escribanos escribanas mandatario mandataria notarios notarias</t>
        </is>
      </c>
      <c r="D713" s="12" t="inlineStr">
        <is>
          <t>Escribanas</t>
        </is>
      </c>
      <c r="E713" s="22" t="n">
        <v>84</v>
      </c>
      <c r="F713" s="22" t="n">
        <v>8183</v>
      </c>
      <c r="G713" s="24" t="inlineStr">
        <is>
          <t>https://guiarsanrafael.com.ar/empresa/garcia-miras-natalia-carolina/</t>
        </is>
      </c>
    </row>
    <row r="714">
      <c r="A714" s="19" t="n">
        <v>713</v>
      </c>
      <c r="B714" s="20" t="inlineStr">
        <is>
          <t>GARCIA Moto Racing</t>
        </is>
      </c>
      <c r="C714" s="14" t="inlineStr">
        <is>
          <t>Mecanica de motos</t>
        </is>
      </c>
      <c r="D714" s="14" t="inlineStr">
        <is>
          <t>Mecanica de motos</t>
        </is>
      </c>
      <c r="E714" s="19" t="n">
        <v>8</v>
      </c>
      <c r="F714" s="19" t="n">
        <v>14090</v>
      </c>
      <c r="G714" s="21" t="inlineStr">
        <is>
          <t>https://guiarsanrafael.com.ar/empresa/garcia-moto-racing/</t>
        </is>
      </c>
    </row>
    <row r="715">
      <c r="A715" s="22" t="n">
        <v>714</v>
      </c>
      <c r="B715" s="23" t="inlineStr">
        <is>
          <t>GARDENIA el lugar de las grandes marcas</t>
        </is>
      </c>
      <c r="C715" s="12" t="inlineStr">
        <is>
          <t>Bombas de agua riego</t>
        </is>
      </c>
      <c r="D715" s="12" t="inlineStr">
        <is>
          <t>Calefaccion</t>
        </is>
      </c>
      <c r="E715" s="22" t="n">
        <v>90</v>
      </c>
      <c r="F715" s="22" t="n">
        <v>7919</v>
      </c>
      <c r="G715" s="24" t="inlineStr">
        <is>
          <t>https://guiarsanrafael.com.ar/empresa/gardenia-el-lugar-de-las-grandes-marcas/</t>
        </is>
      </c>
    </row>
    <row r="716">
      <c r="A716" s="19" t="n">
        <v>715</v>
      </c>
      <c r="B716" s="20" t="inlineStr">
        <is>
          <t>GAS MAR Centro de Servicios</t>
        </is>
      </c>
      <c r="C716" s="14" t="inlineStr">
        <is>
          <t>Accesorios para el aumomotor</t>
        </is>
      </c>
      <c r="D716" s="14" t="inlineStr">
        <is>
          <t>Accesorios del automotor</t>
        </is>
      </c>
      <c r="E716" s="19" t="n">
        <v>33</v>
      </c>
      <c r="F716" s="19" t="n">
        <v>10676</v>
      </c>
      <c r="G716" s="21" t="inlineStr">
        <is>
          <t>https://guiarsanrafael.com.ar/empresa/gasmar-centro-de-servicios/</t>
        </is>
      </c>
    </row>
    <row r="717">
      <c r="A717" s="22" t="n">
        <v>716</v>
      </c>
      <c r="B717" s="23" t="inlineStr">
        <is>
          <t>GATICA María Cecilia</t>
        </is>
      </c>
      <c r="C717" s="12" t="inlineStr">
        <is>
          <t>Escribanias escribanos escribanas mandatario mandataria notarios notarias</t>
        </is>
      </c>
      <c r="D717" s="12" t="inlineStr">
        <is>
          <t>Escribanas</t>
        </is>
      </c>
      <c r="E717" s="22" t="n">
        <v>83</v>
      </c>
      <c r="F717" s="22" t="n">
        <v>8184</v>
      </c>
      <c r="G717" s="24" t="inlineStr">
        <is>
          <t>https://guiarsanrafael.com.ar/empresa/gatica-maria-cecilia/</t>
        </is>
      </c>
    </row>
    <row r="718">
      <c r="A718" s="19" t="n">
        <v>717</v>
      </c>
      <c r="B718" s="20" t="inlineStr">
        <is>
          <t>GATTÁS María Belén</t>
        </is>
      </c>
      <c r="C718" s="14" t="inlineStr">
        <is>
          <t>Escribanias escribanos escribanas mandatario mandataria notarios notarias</t>
        </is>
      </c>
      <c r="D718" s="14" t="inlineStr">
        <is>
          <t>Escribanas</t>
        </is>
      </c>
      <c r="E718" s="19" t="n">
        <v>83</v>
      </c>
      <c r="F718" s="19" t="n">
        <v>8185</v>
      </c>
      <c r="G718" s="21" t="inlineStr">
        <is>
          <t>https://guiarsanrafael.com.ar/empresa/gattas-maria-belen/</t>
        </is>
      </c>
    </row>
    <row r="719">
      <c r="A719" s="22" t="n">
        <v>718</v>
      </c>
      <c r="B719" s="23" t="inlineStr">
        <is>
          <t>GE – FIT Gimnasio</t>
        </is>
      </c>
      <c r="C719" s="12" t="inlineStr">
        <is>
          <t>Gimnasios gym</t>
        </is>
      </c>
      <c r="D719" s="12" t="inlineStr">
        <is>
          <t>Gimnasios</t>
        </is>
      </c>
      <c r="E719" s="22" t="n">
        <v>121</v>
      </c>
      <c r="F719" s="22" t="n">
        <v>6991</v>
      </c>
      <c r="G719" s="24" t="inlineStr">
        <is>
          <t>https://guiarsanrafael.com.ar/empresa/ge-fit-gimnasio/</t>
        </is>
      </c>
    </row>
    <row r="720">
      <c r="A720" s="19" t="n">
        <v>719</v>
      </c>
      <c r="B720" s="20" t="inlineStr">
        <is>
          <t>GENOVA Salud</t>
        </is>
      </c>
      <c r="C720" s="14" t="inlineStr">
        <is>
          <t>Consultorios medicos</t>
        </is>
      </c>
      <c r="D720" s="14" t="inlineStr">
        <is>
          <t>Consultorios medicos</t>
        </is>
      </c>
      <c r="E720" s="19" t="n">
        <v>125</v>
      </c>
      <c r="F720" s="19" t="n">
        <v>6653</v>
      </c>
      <c r="G720" s="21" t="inlineStr">
        <is>
          <t>https://guiarsanrafael.com.ar/empresa/genova-salud/</t>
        </is>
      </c>
    </row>
    <row r="721">
      <c r="A721" s="22" t="n">
        <v>720</v>
      </c>
      <c r="B721" s="23" t="inlineStr">
        <is>
          <t>Genovesi Eduardo Marcelo</t>
        </is>
      </c>
      <c r="C721" s="12" t="inlineStr">
        <is>
          <t>Traumatologia y ortopedia</t>
        </is>
      </c>
      <c r="D721" s="12" t="inlineStr">
        <is>
          <t>Traumatologia</t>
        </is>
      </c>
      <c r="E721" s="22" t="n">
        <v>142</v>
      </c>
      <c r="F721" s="22" t="n">
        <v>5538</v>
      </c>
      <c r="G721" s="24" t="inlineStr">
        <is>
          <t>https://guiarsanrafael.com.ar/empresa/genovesi-eduardo-marcelo/</t>
        </is>
      </c>
    </row>
    <row r="722">
      <c r="A722" s="19" t="n">
        <v>721</v>
      </c>
      <c r="B722" s="20" t="inlineStr">
        <is>
          <t>Gerar</t>
        </is>
      </c>
      <c r="C722" s="14" t="inlineStr">
        <is>
          <t>Alimentos balanceados</t>
        </is>
      </c>
      <c r="D722" s="14" t="inlineStr">
        <is>
          <t>Alimentos balanceados</t>
        </is>
      </c>
      <c r="E722" s="19" t="n">
        <v>181</v>
      </c>
      <c r="F722" s="19" t="n">
        <v>9680</v>
      </c>
      <c r="G722" s="21" t="inlineStr">
        <is>
          <t>https://guiarsanrafael.com.ar/empresa/gerar/</t>
        </is>
      </c>
    </row>
    <row r="723">
      <c r="A723" s="22" t="n">
        <v>722</v>
      </c>
      <c r="B723" s="23" t="inlineStr">
        <is>
          <t>Gerar Alimentos Balanceados</t>
        </is>
      </c>
      <c r="C723" s="12" t="inlineStr">
        <is>
          <t>Alimentos balanceados</t>
        </is>
      </c>
      <c r="D723" s="12" t="inlineStr">
        <is>
          <t>Alimentos balanceados</t>
        </is>
      </c>
      <c r="E723" s="22" t="n">
        <v>44</v>
      </c>
      <c r="F723" s="22" t="n">
        <v>9675</v>
      </c>
      <c r="G723" s="24" t="inlineStr">
        <is>
          <t>https://guiarsanrafael.com.ar/empresa/gerar-alimentos-balanceados/</t>
        </is>
      </c>
    </row>
    <row r="724">
      <c r="A724" s="19" t="n">
        <v>723</v>
      </c>
      <c r="B724" s="20" t="inlineStr">
        <is>
          <t>Gerar Alimentos Balanceados Casa Central</t>
        </is>
      </c>
      <c r="C724" s="14" t="inlineStr">
        <is>
          <t>Alimentos balanceados</t>
        </is>
      </c>
      <c r="D724" s="14" t="inlineStr">
        <is>
          <t>Alimentos balanceados</t>
        </is>
      </c>
      <c r="E724" s="19" t="n">
        <v>44</v>
      </c>
      <c r="F724" s="19" t="n">
        <v>9676</v>
      </c>
      <c r="G724" s="21" t="inlineStr">
        <is>
          <t>https://guiarsanrafael.com.ar/empresa/gerar-alimentos-balanceados-casa-central/</t>
        </is>
      </c>
    </row>
    <row r="725">
      <c r="A725" s="22" t="n">
        <v>724</v>
      </c>
      <c r="B725" s="23" t="inlineStr">
        <is>
          <t>Gerardi María Laura</t>
        </is>
      </c>
      <c r="C725" s="12" t="inlineStr">
        <is>
          <t>Abogados abogadas estudios juridicos</t>
        </is>
      </c>
      <c r="D725" s="12" t="inlineStr">
        <is>
          <t>Abogadas</t>
        </is>
      </c>
      <c r="E725" s="22" t="n">
        <v>109</v>
      </c>
      <c r="F725" s="22" t="n">
        <v>7240</v>
      </c>
      <c r="G725" s="24" t="inlineStr">
        <is>
          <t>https://guiarsanrafael.com.ar/empresa/gerardi-maria-laura/</t>
        </is>
      </c>
    </row>
    <row r="726">
      <c r="A726" s="19" t="n">
        <v>725</v>
      </c>
      <c r="B726" s="20" t="inlineStr">
        <is>
          <t>GERMÁN A. SIRACUSA</t>
        </is>
      </c>
      <c r="C726" s="14" t="inlineStr">
        <is>
          <t>Centro de rehabilitacion</t>
        </is>
      </c>
      <c r="D726" s="14" t="inlineStr">
        <is>
          <t>Centro de rehabilitacion</t>
        </is>
      </c>
      <c r="E726" s="19" t="n">
        <v>131</v>
      </c>
      <c r="F726" s="19" t="n">
        <v>6254</v>
      </c>
      <c r="G726" s="21" t="inlineStr">
        <is>
          <t>https://guiarsanrafael.com.ar/empresa/german-a-siracusa/</t>
        </is>
      </c>
    </row>
    <row r="727">
      <c r="A727" s="22" t="n">
        <v>726</v>
      </c>
      <c r="B727" s="23" t="inlineStr">
        <is>
          <t>GERÓNIMO MAGNENAT</t>
        </is>
      </c>
      <c r="C727" s="12" t="inlineStr">
        <is>
          <t>Centro de rehabilitacion</t>
        </is>
      </c>
      <c r="D727" s="12" t="inlineStr">
        <is>
          <t>Centro de rehabilitacion</t>
        </is>
      </c>
      <c r="E727" s="22" t="n">
        <v>130</v>
      </c>
      <c r="F727" s="22" t="n">
        <v>6340</v>
      </c>
      <c r="G727" s="24" t="inlineStr">
        <is>
          <t>https://guiarsanrafael.com.ar/empresa/geronimo-magnenat/</t>
        </is>
      </c>
    </row>
    <row r="728">
      <c r="A728" s="19" t="n">
        <v>727</v>
      </c>
      <c r="B728" s="20" t="inlineStr">
        <is>
          <t>GIA GARGANTINI ARQUITECTURA</t>
        </is>
      </c>
      <c r="C728" s="14" t="inlineStr">
        <is>
          <t>Arquitetos arquitectura estudios tecnicos arquitecta</t>
        </is>
      </c>
      <c r="D728" s="14" t="inlineStr">
        <is>
          <t>Arquitectos</t>
        </is>
      </c>
      <c r="E728" s="19" t="n">
        <v>127</v>
      </c>
      <c r="F728" s="19" t="n">
        <v>6568</v>
      </c>
      <c r="G728" s="21" t="inlineStr">
        <is>
          <t>https://guiarsanrafael.com.ar/empresa/gia-gargantini-arquitectura/</t>
        </is>
      </c>
    </row>
    <row r="729">
      <c r="A729" s="22" t="n">
        <v>728</v>
      </c>
      <c r="B729" s="23" t="inlineStr">
        <is>
          <t>Giambenedetti Giuliana</t>
        </is>
      </c>
      <c r="C729" s="12" t="inlineStr">
        <is>
          <t>Psicopedagogia</t>
        </is>
      </c>
      <c r="D729" s="12" t="inlineStr">
        <is>
          <t>Psicopedagogia</t>
        </is>
      </c>
      <c r="E729" s="22" t="n">
        <v>143</v>
      </c>
      <c r="F729" s="22" t="n">
        <v>5522</v>
      </c>
      <c r="G729" s="24" t="inlineStr">
        <is>
          <t>https://guiarsanrafael.com.ar/empresa/giambenedetti-giuliana/</t>
        </is>
      </c>
    </row>
    <row r="730">
      <c r="A730" s="19" t="n">
        <v>729</v>
      </c>
      <c r="B730" s="20" t="inlineStr">
        <is>
          <t>GIMNASIO LEALTAD</t>
        </is>
      </c>
      <c r="C730" s="14" t="inlineStr">
        <is>
          <t>Gimnasios gym</t>
        </is>
      </c>
      <c r="D730" s="14" t="inlineStr">
        <is>
          <t>Gimnasios</t>
        </is>
      </c>
      <c r="E730" s="19" t="n">
        <v>13</v>
      </c>
      <c r="F730" s="19" t="n">
        <v>12978</v>
      </c>
      <c r="G730" s="21" t="inlineStr">
        <is>
          <t>https://guiarsanrafael.com.ar/empresa/gimnasio-lealtad-2/</t>
        </is>
      </c>
    </row>
    <row r="731">
      <c r="A731" s="22" t="n">
        <v>730</v>
      </c>
      <c r="B731" s="23" t="inlineStr">
        <is>
          <t>GIMNASIO LEALTAD</t>
        </is>
      </c>
      <c r="C731" s="12" t="inlineStr">
        <is>
          <t>Gimnasios gym</t>
        </is>
      </c>
      <c r="D731" s="12" t="inlineStr">
        <is>
          <t>Gimnasios</t>
        </is>
      </c>
      <c r="E731" s="22" t="n">
        <v>14</v>
      </c>
      <c r="F731" s="22" t="n">
        <v>12925</v>
      </c>
      <c r="G731" s="24" t="inlineStr">
        <is>
          <t>https://guiarsanrafael.com.ar/empresa/gimnasio-lealtad/</t>
        </is>
      </c>
    </row>
    <row r="732">
      <c r="A732" s="19" t="n">
        <v>731</v>
      </c>
      <c r="B732" s="20" t="inlineStr">
        <is>
          <t>GIRAUDI CANO Lorena Gisela</t>
        </is>
      </c>
      <c r="C732" s="14" t="inlineStr">
        <is>
          <t>Escribanias escribanos escribanas mandatario mandataria notarios notarias</t>
        </is>
      </c>
      <c r="D732" s="14" t="inlineStr">
        <is>
          <t>Escribanas</t>
        </is>
      </c>
      <c r="E732" s="19" t="n">
        <v>83</v>
      </c>
      <c r="F732" s="19" t="n">
        <v>8186</v>
      </c>
      <c r="G732" s="21" t="inlineStr">
        <is>
          <t>https://guiarsanrafael.com.ar/empresa/giraudi-cano-lorena-gisela/</t>
        </is>
      </c>
    </row>
    <row r="733">
      <c r="A733" s="22" t="n">
        <v>732</v>
      </c>
      <c r="B733" s="23" t="inlineStr">
        <is>
          <t>Giraudo Debora Cecilia</t>
        </is>
      </c>
      <c r="C733" s="12" t="inlineStr">
        <is>
          <t>Abogados abogadas estudios juridicos</t>
        </is>
      </c>
      <c r="D733" s="12" t="inlineStr">
        <is>
          <t>Abogadas</t>
        </is>
      </c>
      <c r="E733" s="22" t="n">
        <v>115</v>
      </c>
      <c r="F733" s="22" t="n">
        <v>7164</v>
      </c>
      <c r="G733" s="24" t="inlineStr">
        <is>
          <t>https://guiarsanrafael.com.ar/empresa/giraudo-debora-cecilia/</t>
        </is>
      </c>
    </row>
    <row r="734">
      <c r="A734" s="19" t="n">
        <v>733</v>
      </c>
      <c r="B734" s="20" t="inlineStr">
        <is>
          <t>Gisela Cañizares</t>
        </is>
      </c>
      <c r="C734" s="14" t="inlineStr">
        <is>
          <t>Nutricion nutricionistas</t>
        </is>
      </c>
      <c r="D734" s="14" t="inlineStr">
        <is>
          <t>Nutricionistas</t>
        </is>
      </c>
      <c r="E734" s="19" t="n">
        <v>150</v>
      </c>
      <c r="F734" s="19" t="n">
        <v>5421</v>
      </c>
      <c r="G734" s="21" t="inlineStr">
        <is>
          <t>https://guiarsanrafael.com.ar/empresa/gisela-canizares/</t>
        </is>
      </c>
    </row>
    <row r="735">
      <c r="A735" s="22" t="n">
        <v>734</v>
      </c>
      <c r="B735" s="23" t="inlineStr">
        <is>
          <t>GISELA CERDA</t>
        </is>
      </c>
      <c r="C735" s="12" t="inlineStr">
        <is>
          <t>Productor de seguros</t>
        </is>
      </c>
      <c r="D735" s="12" t="inlineStr">
        <is>
          <t>Productor de seguros</t>
        </is>
      </c>
      <c r="E735" s="22" t="n">
        <v>138</v>
      </c>
      <c r="F735" s="22" t="n">
        <v>5795</v>
      </c>
      <c r="G735" s="24" t="inlineStr">
        <is>
          <t>https://guiarsanrafael.com.ar/empresa/gisela-cerda/</t>
        </is>
      </c>
    </row>
    <row r="736">
      <c r="A736" s="19" t="n">
        <v>735</v>
      </c>
      <c r="B736" s="20" t="inlineStr">
        <is>
          <t>GITANA Fiambres &amp; Bebidas</t>
        </is>
      </c>
      <c r="C736" s="14" t="inlineStr">
        <is>
          <t>Fiambrerias</t>
        </is>
      </c>
      <c r="D736" s="14" t="inlineStr">
        <is>
          <t>Almacen de bebidas</t>
        </is>
      </c>
      <c r="E736" s="19" t="n">
        <v>26</v>
      </c>
      <c r="F736" s="19" t="n">
        <v>11503</v>
      </c>
      <c r="G736" s="21" t="inlineStr">
        <is>
          <t>https://guiarsanrafael.com.ar/empresa/gitana-fiambres-bebidas/</t>
        </is>
      </c>
    </row>
    <row r="737">
      <c r="A737" s="22" t="n">
        <v>736</v>
      </c>
      <c r="B737" s="23" t="inlineStr">
        <is>
          <t>Giusto Florencia</t>
        </is>
      </c>
      <c r="C737" s="12" t="inlineStr">
        <is>
          <t>Psicopedagogia</t>
        </is>
      </c>
      <c r="D737" s="12" t="inlineStr">
        <is>
          <t>Psicopedagogia</t>
        </is>
      </c>
      <c r="E737" s="22" t="n">
        <v>143</v>
      </c>
      <c r="F737" s="22" t="n">
        <v>5523</v>
      </c>
      <c r="G737" s="24" t="inlineStr">
        <is>
          <t>https://guiarsanrafael.com.ar/empresa/giusto-florencia/</t>
        </is>
      </c>
    </row>
    <row r="738">
      <c r="A738" s="19" t="n">
        <v>737</v>
      </c>
      <c r="B738" s="20" t="inlineStr">
        <is>
          <t>GLAMAR Perfumería</t>
        </is>
      </c>
      <c r="C738" s="14" t="inlineStr">
        <is>
          <t>Perfrumerias cosmeticos cosmetica</t>
        </is>
      </c>
      <c r="D738" s="14" t="inlineStr">
        <is>
          <t>Cosmetica perfumeria</t>
        </is>
      </c>
      <c r="E738" s="19" t="n">
        <v>66</v>
      </c>
      <c r="F738" s="19" t="n">
        <v>8617</v>
      </c>
      <c r="G738" s="21" t="inlineStr">
        <is>
          <t>https://guiarsanrafael.com.ar/empresa/glamar-perfumeria/</t>
        </is>
      </c>
    </row>
    <row r="739">
      <c r="A739" s="22" t="n">
        <v>738</v>
      </c>
      <c r="B739" s="23" t="inlineStr">
        <is>
          <t>GLOBAL Climatización</t>
        </is>
      </c>
      <c r="C739" s="12" t="inlineStr">
        <is>
          <t>Aire acondicionado</t>
        </is>
      </c>
      <c r="D739" s="12" t="inlineStr">
        <is>
          <t>Aire acondicionado</t>
        </is>
      </c>
      <c r="E739" s="22" t="n">
        <v>173</v>
      </c>
      <c r="F739" s="22" t="n">
        <v>4158</v>
      </c>
      <c r="G739" s="24" t="inlineStr">
        <is>
          <t>https://guiarsanrafael.com.ar/empresa/global-climatizacion/</t>
        </is>
      </c>
    </row>
    <row r="740">
      <c r="A740" s="19" t="n">
        <v>739</v>
      </c>
      <c r="B740" s="20" t="inlineStr">
        <is>
          <t>GLOBAL English Institute</t>
        </is>
      </c>
      <c r="C740" s="14" t="inlineStr">
        <is>
          <t>Intitutos de ingles</t>
        </is>
      </c>
      <c r="D740" s="14" t="inlineStr">
        <is>
          <t>Instituos</t>
        </is>
      </c>
      <c r="E740" s="19" t="n">
        <v>141</v>
      </c>
      <c r="F740" s="19" t="n">
        <v>5562</v>
      </c>
      <c r="G740" s="21" t="inlineStr">
        <is>
          <t>https://guiarsanrafael.com.ar/empresa/global-english-institute/</t>
        </is>
      </c>
    </row>
    <row r="741">
      <c r="A741" s="22" t="n">
        <v>740</v>
      </c>
      <c r="B741" s="23" t="inlineStr">
        <is>
          <t>GO AUTOS</t>
        </is>
      </c>
      <c r="C741" s="12" t="inlineStr">
        <is>
          <t>Agencia de autos automotores</t>
        </is>
      </c>
      <c r="D741" s="12" t="inlineStr">
        <is>
          <t>Agencia de autos</t>
        </is>
      </c>
      <c r="E741" s="22" t="n">
        <v>125</v>
      </c>
      <c r="F741" s="22" t="n">
        <v>6731</v>
      </c>
      <c r="G741" s="24" t="inlineStr">
        <is>
          <t>https://guiarsanrafael.com.ar/empresa/go-autos/</t>
        </is>
      </c>
    </row>
    <row r="742">
      <c r="A742" s="19" t="n">
        <v>741</v>
      </c>
      <c r="B742" s="20" t="inlineStr">
        <is>
          <t>GO BAR San Rafael</t>
        </is>
      </c>
      <c r="C742" s="14" t="inlineStr">
        <is>
          <t>Tinenda de bebidas vinotecas licores</t>
        </is>
      </c>
      <c r="D742" s="14" t="inlineStr">
        <is>
          <t>Licorerias</t>
        </is>
      </c>
      <c r="E742" s="19" t="n">
        <v>52</v>
      </c>
      <c r="F742" s="19" t="n">
        <v>9318</v>
      </c>
      <c r="G742" s="21" t="inlineStr">
        <is>
          <t>https://guiarsanrafael.com.ar/empresa/go-bar-san-rafael/</t>
        </is>
      </c>
    </row>
    <row r="743">
      <c r="A743" s="22" t="n">
        <v>742</v>
      </c>
      <c r="B743" s="23" t="inlineStr">
        <is>
          <t>Goma Sur s.r.l.</t>
        </is>
      </c>
      <c r="C743" s="12" t="inlineStr">
        <is>
          <t>Articulos de goma</t>
        </is>
      </c>
      <c r="D743" s="12" t="inlineStr">
        <is>
          <t>Articulos de goma</t>
        </is>
      </c>
      <c r="E743" s="22" t="n">
        <v>68</v>
      </c>
      <c r="F743" s="22" t="n">
        <v>8510</v>
      </c>
      <c r="G743" s="24" t="inlineStr">
        <is>
          <t>https://guiarsanrafael.com.ar/empresa/goma-sur-s-r-l/</t>
        </is>
      </c>
    </row>
    <row r="744">
      <c r="A744" s="19" t="n">
        <v>743</v>
      </c>
      <c r="B744" s="20" t="inlineStr">
        <is>
          <t>GOMERIA ISELIN</t>
        </is>
      </c>
      <c r="C744" s="14" t="inlineStr">
        <is>
          <t>Gomerias neumaticos gomas cubiertas</t>
        </is>
      </c>
      <c r="D744" s="14" t="inlineStr">
        <is>
          <t>Gomeria</t>
        </is>
      </c>
      <c r="E744" s="19" t="n">
        <v>26</v>
      </c>
      <c r="F744" s="19" t="n">
        <v>11477</v>
      </c>
      <c r="G744" s="21" t="inlineStr">
        <is>
          <t>https://guiarsanrafael.com.ar/empresa/gomeria-iselin/</t>
        </is>
      </c>
    </row>
    <row r="745">
      <c r="A745" s="22" t="n">
        <v>744</v>
      </c>
      <c r="B745" s="23" t="inlineStr">
        <is>
          <t>GOMERIA LOS NIETOS</t>
        </is>
      </c>
      <c r="C745" s="12" t="inlineStr">
        <is>
          <t>Gomerias neumaticos gomas cubiertas</t>
        </is>
      </c>
      <c r="D745" s="12" t="inlineStr">
        <is>
          <t>Gomeria</t>
        </is>
      </c>
      <c r="E745" s="22" t="n">
        <v>6</v>
      </c>
      <c r="F745" s="22" t="n">
        <v>14365</v>
      </c>
      <c r="G745" s="24" t="inlineStr">
        <is>
          <t>https://guiarsanrafael.com.ar/empresa/gomeria-los-nietos/</t>
        </is>
      </c>
    </row>
    <row r="746">
      <c r="A746" s="19" t="n">
        <v>745</v>
      </c>
      <c r="B746" s="20" t="inlineStr">
        <is>
          <t>GOMEZ Analia Liliana</t>
        </is>
      </c>
      <c r="C746" s="14" t="inlineStr">
        <is>
          <t>Escribanias escribanos escribanas mandatario mandataria notarios notarias</t>
        </is>
      </c>
      <c r="D746" s="14" t="inlineStr">
        <is>
          <t>Escribanas</t>
        </is>
      </c>
      <c r="E746" s="19" t="n">
        <v>83</v>
      </c>
      <c r="F746" s="19" t="n">
        <v>8187</v>
      </c>
      <c r="G746" s="21" t="inlineStr">
        <is>
          <t>https://guiarsanrafael.com.ar/empresa/gomez-analia-liliana/</t>
        </is>
      </c>
    </row>
    <row r="747">
      <c r="A747" s="22" t="n">
        <v>746</v>
      </c>
      <c r="B747" s="23" t="inlineStr">
        <is>
          <t>GONZALEZ Cecilia Valeria</t>
        </is>
      </c>
      <c r="C747" s="12" t="inlineStr">
        <is>
          <t>Escribanias escribanos escribanas mandatario mandataria notarios notarias</t>
        </is>
      </c>
      <c r="D747" s="12" t="inlineStr">
        <is>
          <t>Escribanas</t>
        </is>
      </c>
      <c r="E747" s="22" t="n">
        <v>83</v>
      </c>
      <c r="F747" s="22" t="n">
        <v>8190</v>
      </c>
      <c r="G747" s="24" t="inlineStr">
        <is>
          <t>https://guiarsanrafael.com.ar/empresa/gonzalez-cecilia-valeria/</t>
        </is>
      </c>
    </row>
    <row r="748">
      <c r="A748" s="19" t="n">
        <v>747</v>
      </c>
      <c r="B748" s="20" t="inlineStr">
        <is>
          <t>GONZALEZ María Eugenia</t>
        </is>
      </c>
      <c r="C748" s="14" t="inlineStr">
        <is>
          <t>Escribanias escribanos escribanas mandatario mandataria notarios notarias</t>
        </is>
      </c>
      <c r="D748" s="14" t="inlineStr">
        <is>
          <t>Escribanas</t>
        </is>
      </c>
      <c r="E748" s="19" t="n">
        <v>83</v>
      </c>
      <c r="F748" s="19" t="n">
        <v>8189</v>
      </c>
      <c r="G748" s="21" t="inlineStr">
        <is>
          <t>https://guiarsanrafael.com.ar/empresa/gonzalez-maria-eugenia/</t>
        </is>
      </c>
    </row>
    <row r="749">
      <c r="A749" s="22" t="n">
        <v>748</v>
      </c>
      <c r="B749" s="23" t="inlineStr">
        <is>
          <t>GONZALO A. TORRICO RODRIGUEZ</t>
        </is>
      </c>
      <c r="C749" s="12" t="inlineStr">
        <is>
          <t>Escribanias escribanos escribanas mandatario mandataria notarios notarias</t>
        </is>
      </c>
      <c r="D749" s="12" t="inlineStr">
        <is>
          <t>Escribanas</t>
        </is>
      </c>
      <c r="E749" s="22" t="n">
        <v>136</v>
      </c>
      <c r="F749" s="22" t="n">
        <v>5983</v>
      </c>
      <c r="G749" s="24" t="inlineStr">
        <is>
          <t>https://guiarsanrafael.com.ar/empresa/gonzalo-a-torrico-rodriguez/</t>
        </is>
      </c>
    </row>
    <row r="750">
      <c r="A750" s="19" t="n">
        <v>749</v>
      </c>
      <c r="B750" s="20" t="inlineStr">
        <is>
          <t>GONZALO DELLA FAZIA</t>
        </is>
      </c>
      <c r="C750" s="14" t="inlineStr">
        <is>
          <t>Cardiologia medico cardiologo</t>
        </is>
      </c>
      <c r="D750" s="14" t="inlineStr">
        <is>
          <t>Cardiologia</t>
        </is>
      </c>
      <c r="E750" s="19" t="n">
        <v>164</v>
      </c>
      <c r="F750" s="19" t="n">
        <v>5049</v>
      </c>
      <c r="G750" s="21" t="inlineStr">
        <is>
          <t>https://guiarsanrafael.com.ar/empresa/gonzalo-della-fazia/</t>
        </is>
      </c>
    </row>
    <row r="751">
      <c r="A751" s="22" t="n">
        <v>750</v>
      </c>
      <c r="B751" s="23" t="inlineStr">
        <is>
          <t>GONZALO HERRERA</t>
        </is>
      </c>
      <c r="C751" s="12" t="inlineStr">
        <is>
          <t>Pediatria neonatologia</t>
        </is>
      </c>
      <c r="D751" s="12" t="inlineStr">
        <is>
          <t>Pediatria y neonatologia</t>
        </is>
      </c>
      <c r="E751" s="22" t="n">
        <v>128</v>
      </c>
      <c r="F751" s="22" t="n">
        <v>6499</v>
      </c>
      <c r="G751" s="24" t="inlineStr">
        <is>
          <t>https://guiarsanrafael.com.ar/empresa/gonzalo-herrera/</t>
        </is>
      </c>
    </row>
    <row r="752">
      <c r="A752" s="19" t="n">
        <v>751</v>
      </c>
      <c r="B752" s="20" t="inlineStr">
        <is>
          <t>GOOD PANCHO</t>
        </is>
      </c>
      <c r="C752" s="14" t="inlineStr">
        <is>
          <t>Pancherias lomos sanguchreria pizaerias pizzas</t>
        </is>
      </c>
      <c r="D752" s="14" t="inlineStr">
        <is>
          <t>Hamburgueserias</t>
        </is>
      </c>
      <c r="E752" s="19" t="n">
        <v>135</v>
      </c>
      <c r="F752" s="19" t="n">
        <v>5995</v>
      </c>
      <c r="G752" s="21" t="inlineStr">
        <is>
          <t>https://guiarsanrafael.com.ar/empresa/5995/</t>
        </is>
      </c>
    </row>
    <row r="753">
      <c r="A753" s="22" t="n">
        <v>752</v>
      </c>
      <c r="B753" s="23" t="inlineStr">
        <is>
          <t>GORILLA Grow Shop</t>
        </is>
      </c>
      <c r="C753" s="12" t="inlineStr">
        <is>
          <t>Fertilizantes</t>
        </is>
      </c>
      <c r="D753" s="12" t="inlineStr">
        <is>
          <t>Fertilizantes</t>
        </is>
      </c>
      <c r="E753" s="22" t="n">
        <v>136</v>
      </c>
      <c r="F753" s="22" t="n">
        <v>5971</v>
      </c>
      <c r="G753" s="24" t="inlineStr">
        <is>
          <t>https://guiarsanrafael.com.ar/empresa/gorilla-grow-shop/</t>
        </is>
      </c>
    </row>
    <row r="754">
      <c r="A754" s="19" t="n">
        <v>753</v>
      </c>
      <c r="B754" s="20" t="inlineStr">
        <is>
          <t>GP Servicios Médicos</t>
        </is>
      </c>
      <c r="C754" s="14" t="inlineStr">
        <is>
          <t>Institutos medicos consultorios medicos</t>
        </is>
      </c>
      <c r="D754" s="14" t="inlineStr">
        <is>
          <t>Consultorios medicos</t>
        </is>
      </c>
      <c r="E754" s="19" t="n">
        <v>36</v>
      </c>
      <c r="F754" s="19" t="n">
        <v>10211</v>
      </c>
      <c r="G754" s="21" t="inlineStr">
        <is>
          <t>https://guiarsanrafael.com.ar/empresa/gp-servicios-medicos/</t>
        </is>
      </c>
    </row>
    <row r="755">
      <c r="A755" s="22" t="n">
        <v>754</v>
      </c>
      <c r="B755" s="23" t="inlineStr">
        <is>
          <t>GPRS  Seguridad Electrónica Global</t>
        </is>
      </c>
      <c r="C755" s="12" t="inlineStr">
        <is>
          <t>Alarmas</t>
        </is>
      </c>
      <c r="D755" s="12" t="inlineStr">
        <is>
          <t>Alarmas</t>
        </is>
      </c>
      <c r="E755" s="22" t="n">
        <v>30</v>
      </c>
      <c r="F755" s="22" t="n">
        <v>11023</v>
      </c>
      <c r="G755" s="24" t="inlineStr">
        <is>
          <t>https://guiarsanrafael.com.ar/empresa/gprs-seguridad-electronica-global/</t>
        </is>
      </c>
    </row>
    <row r="756">
      <c r="A756" s="19" t="n">
        <v>755</v>
      </c>
      <c r="B756" s="20" t="inlineStr">
        <is>
          <t>GRACIELA VELAZQUEZ</t>
        </is>
      </c>
      <c r="C756" s="14" t="inlineStr">
        <is>
          <t>Pedicuria</t>
        </is>
      </c>
      <c r="D756" s="14" t="inlineStr">
        <is>
          <t>Centro de estetica</t>
        </is>
      </c>
      <c r="E756" s="19" t="n">
        <v>122</v>
      </c>
      <c r="F756" s="19" t="n">
        <v>6932</v>
      </c>
      <c r="G756" s="21" t="inlineStr">
        <is>
          <t>https://guiarsanrafael.com.ar/empresa/6932/</t>
        </is>
      </c>
    </row>
    <row r="757">
      <c r="A757" s="22" t="n">
        <v>756</v>
      </c>
      <c r="B757" s="23" t="inlineStr">
        <is>
          <t>GRAFICA GRAMAJO</t>
        </is>
      </c>
      <c r="C757" s="12" t="inlineStr">
        <is>
          <t>Carteleria graficas ploteados letreros</t>
        </is>
      </c>
      <c r="D757" s="12" t="inlineStr">
        <is>
          <t>Carteleria</t>
        </is>
      </c>
      <c r="E757" s="22" t="n">
        <v>168</v>
      </c>
      <c r="F757" s="22" t="n">
        <v>4748</v>
      </c>
      <c r="G757" s="24" t="inlineStr">
        <is>
          <t>https://guiarsanrafael.com.ar/empresa/grafica-gramajo/</t>
        </is>
      </c>
    </row>
    <row r="758">
      <c r="A758" s="19" t="n">
        <v>757</v>
      </c>
      <c r="B758" s="20" t="inlineStr">
        <is>
          <t>GRAFICA MUÑOZ</t>
        </is>
      </c>
      <c r="C758" s="14" t="inlineStr">
        <is>
          <t>Carteleria graficas ploteados letreros</t>
        </is>
      </c>
      <c r="D758" s="14" t="inlineStr">
        <is>
          <t>Carteleria</t>
        </is>
      </c>
      <c r="E758" s="19" t="n">
        <v>95</v>
      </c>
      <c r="F758" s="19" t="n">
        <v>7738</v>
      </c>
      <c r="G758" s="21" t="inlineStr">
        <is>
          <t>https://guiarsanrafael.com.ar/empresa/grafica-munoz/</t>
        </is>
      </c>
    </row>
    <row r="759">
      <c r="A759" s="22" t="n">
        <v>758</v>
      </c>
      <c r="B759" s="23" t="inlineStr">
        <is>
          <t>Grand Estate S.A.</t>
        </is>
      </c>
      <c r="C759" s="12" t="inlineStr">
        <is>
          <t>Bodegas vinedos fincas</t>
        </is>
      </c>
      <c r="D759" s="12" t="inlineStr">
        <is>
          <t>Bodegas y vinedos</t>
        </is>
      </c>
      <c r="E759" s="22" t="n">
        <v>47</v>
      </c>
      <c r="F759" s="22" t="n">
        <v>9432</v>
      </c>
      <c r="G759" s="24" t="inlineStr">
        <is>
          <t>https://guiarsanrafael.com.ar/empresa/grand-estate-s-a/</t>
        </is>
      </c>
    </row>
    <row r="760">
      <c r="A760" s="19" t="n">
        <v>759</v>
      </c>
      <c r="B760" s="20" t="inlineStr">
        <is>
          <t>Grandiet Nicolás</t>
        </is>
      </c>
      <c r="C760" s="14" t="inlineStr">
        <is>
          <t>Dieteticas productos naturales</t>
        </is>
      </c>
      <c r="D760" s="14" t="inlineStr">
        <is>
          <t>Dieteticas</t>
        </is>
      </c>
      <c r="E760" s="19" t="n">
        <v>55</v>
      </c>
      <c r="F760" s="19" t="n">
        <v>9232</v>
      </c>
      <c r="G760" s="21" t="inlineStr">
        <is>
          <t>https://guiarsanrafael.com.ar/empresa/grandiet-nicolas/</t>
        </is>
      </c>
    </row>
    <row r="761">
      <c r="A761" s="22" t="n">
        <v>760</v>
      </c>
      <c r="B761" s="23" t="inlineStr">
        <is>
          <t>GRANELIA Keto &amp; Low Carb</t>
        </is>
      </c>
      <c r="C761" s="12" t="inlineStr">
        <is>
          <t>Almacen natural</t>
        </is>
      </c>
      <c r="D761" s="12" t="inlineStr">
        <is>
          <t>Almacen natural</t>
        </is>
      </c>
      <c r="E761" s="22" t="n">
        <v>28</v>
      </c>
      <c r="F761" s="22" t="n">
        <v>11296</v>
      </c>
      <c r="G761" s="24" t="inlineStr">
        <is>
          <t>https://guiarsanrafael.com.ar/empresa/granelia-keto-low-carb/</t>
        </is>
      </c>
    </row>
    <row r="762">
      <c r="A762" s="19" t="n">
        <v>761</v>
      </c>
      <c r="B762" s="20" t="inlineStr">
        <is>
          <t>Granollers Ramiro Germán</t>
        </is>
      </c>
      <c r="C762" s="14" t="inlineStr">
        <is>
          <t>Abogados abogadas estudios juridicos</t>
        </is>
      </c>
      <c r="D762" s="14" t="inlineStr">
        <is>
          <t>Abogados</t>
        </is>
      </c>
      <c r="E762" s="19" t="n">
        <v>117</v>
      </c>
      <c r="F762" s="19" t="n">
        <v>7143</v>
      </c>
      <c r="G762" s="21" t="inlineStr">
        <is>
          <t>https://guiarsanrafael.com.ar/empresa/granollers-ramiro-german/</t>
        </is>
      </c>
    </row>
    <row r="763">
      <c r="A763" s="22" t="n">
        <v>762</v>
      </c>
      <c r="B763" s="23" t="inlineStr">
        <is>
          <t>GRIDO Helados</t>
        </is>
      </c>
      <c r="C763" s="12" t="inlineStr">
        <is>
          <t>Heladerias postres</t>
        </is>
      </c>
      <c r="D763" s="12" t="inlineStr">
        <is>
          <t>Heladerias</t>
        </is>
      </c>
      <c r="E763" s="22" t="n">
        <v>141</v>
      </c>
      <c r="F763" s="22" t="n">
        <v>5545</v>
      </c>
      <c r="G763" s="24" t="inlineStr">
        <is>
          <t>https://guiarsanrafael.com.ar/empresa/grido-helados/</t>
        </is>
      </c>
    </row>
    <row r="764">
      <c r="A764" s="19" t="n">
        <v>763</v>
      </c>
      <c r="B764" s="20" t="inlineStr">
        <is>
          <t>GRIDO Helados</t>
        </is>
      </c>
      <c r="C764" s="14" t="inlineStr">
        <is>
          <t>Heladerias postres</t>
        </is>
      </c>
      <c r="D764" s="14" t="inlineStr">
        <is>
          <t>Heladerias</t>
        </is>
      </c>
      <c r="E764" s="19" t="n">
        <v>141</v>
      </c>
      <c r="F764" s="19" t="n">
        <v>5557</v>
      </c>
      <c r="G764" s="21" t="inlineStr">
        <is>
          <t>https://guiarsanrafael.com.ar/empresa/grido-helados-2/</t>
        </is>
      </c>
    </row>
    <row r="765">
      <c r="A765" s="22" t="n">
        <v>764</v>
      </c>
      <c r="B765" s="23" t="inlineStr">
        <is>
          <t>Grossa Mora</t>
        </is>
      </c>
      <c r="C765" s="12" t="inlineStr">
        <is>
          <t>Confiterias reposteria</t>
        </is>
      </c>
      <c r="D765" s="12" t="inlineStr">
        <is>
          <t>Confiteria</t>
        </is>
      </c>
      <c r="E765" s="22" t="n">
        <v>62</v>
      </c>
      <c r="F765" s="22" t="n">
        <v>8676</v>
      </c>
      <c r="G765" s="24" t="inlineStr">
        <is>
          <t>https://guiarsanrafael.com.ar/empresa/grossa-mora/</t>
        </is>
      </c>
    </row>
    <row r="766">
      <c r="A766" s="19" t="n">
        <v>765</v>
      </c>
      <c r="B766" s="20" t="inlineStr">
        <is>
          <t>Grosso Georgina Antonella</t>
        </is>
      </c>
      <c r="C766" s="14" t="inlineStr">
        <is>
          <t>Abogados abogadas estudios juridicos</t>
        </is>
      </c>
      <c r="D766" s="14" t="inlineStr">
        <is>
          <t>Abogadas</t>
        </is>
      </c>
      <c r="E766" s="19" t="n">
        <v>110</v>
      </c>
      <c r="F766" s="19" t="n">
        <v>7218</v>
      </c>
      <c r="G766" s="21" t="inlineStr">
        <is>
          <t>https://guiarsanrafael.com.ar/empresa/grosso-georgina-antonella/</t>
        </is>
      </c>
    </row>
    <row r="767">
      <c r="A767" s="22" t="n">
        <v>766</v>
      </c>
      <c r="B767" s="23" t="inlineStr">
        <is>
          <t>GRÁFICA JR</t>
        </is>
      </c>
      <c r="C767" s="12" t="inlineStr">
        <is>
          <t>Carteleria graficas ploteados letreros</t>
        </is>
      </c>
      <c r="D767" s="12" t="inlineStr">
        <is>
          <t>Carteleria</t>
        </is>
      </c>
      <c r="E767" s="22" t="n">
        <v>94</v>
      </c>
      <c r="F767" s="22" t="n">
        <v>7739</v>
      </c>
      <c r="G767" s="24" t="inlineStr">
        <is>
          <t>https://guiarsanrafael.com.ar/empresa/grafica-jr/</t>
        </is>
      </c>
    </row>
    <row r="768">
      <c r="A768" s="19" t="n">
        <v>767</v>
      </c>
      <c r="B768" s="20" t="inlineStr">
        <is>
          <t>GS Gestoria &amp; Seguros</t>
        </is>
      </c>
      <c r="C768" s="14" t="inlineStr">
        <is>
          <t>Productor de seguros</t>
        </is>
      </c>
      <c r="D768" s="14" t="inlineStr">
        <is>
          <t>Gestoria del automotor</t>
        </is>
      </c>
      <c r="E768" s="19" t="n">
        <v>34</v>
      </c>
      <c r="F768" s="19" t="n">
        <v>10445</v>
      </c>
      <c r="G768" s="21" t="inlineStr">
        <is>
          <t>https://guiarsanrafael.com.ar/empresa/gs-gestoria-seguros/</t>
        </is>
      </c>
    </row>
    <row r="769">
      <c r="A769" s="22" t="n">
        <v>768</v>
      </c>
      <c r="B769" s="23" t="inlineStr">
        <is>
          <t>GS MECANICA INTEGRAL</t>
        </is>
      </c>
      <c r="C769" s="12" t="inlineStr">
        <is>
          <t>Suspencion tren delantero</t>
        </is>
      </c>
      <c r="D769" s="12" t="inlineStr">
        <is>
          <t>Mecanica del automotor</t>
        </is>
      </c>
      <c r="E769" s="22" t="n">
        <v>69</v>
      </c>
      <c r="F769" s="22" t="n">
        <v>8480</v>
      </c>
      <c r="G769" s="24" t="inlineStr">
        <is>
          <t>https://guiarsanrafael.com.ar/empresa/gs-mecanica-integral/</t>
        </is>
      </c>
    </row>
    <row r="770">
      <c r="A770" s="19" t="n">
        <v>769</v>
      </c>
      <c r="B770" s="20" t="inlineStr">
        <is>
          <t>GS MOTOS</t>
        </is>
      </c>
      <c r="C770" s="14" t="inlineStr">
        <is>
          <t>Mecanica de motos</t>
        </is>
      </c>
      <c r="D770" s="14" t="inlineStr">
        <is>
          <t>Mecanica de motos</t>
        </is>
      </c>
      <c r="E770" s="19" t="n">
        <v>166</v>
      </c>
      <c r="F770" s="19" t="n">
        <v>4897</v>
      </c>
      <c r="G770" s="21" t="inlineStr">
        <is>
          <t>https://guiarsanrafael.com.ar/empresa/gs-motos/</t>
        </is>
      </c>
    </row>
    <row r="771">
      <c r="A771" s="22" t="n">
        <v>770</v>
      </c>
      <c r="B771" s="23" t="inlineStr">
        <is>
          <t>Guadalupe Arevalo</t>
        </is>
      </c>
      <c r="C771" s="12" t="inlineStr">
        <is>
          <t>Odontologia</t>
        </is>
      </c>
      <c r="D771" s="12" t="inlineStr">
        <is>
          <t>Odontologia</t>
        </is>
      </c>
      <c r="E771" s="22" t="n">
        <v>105</v>
      </c>
      <c r="F771" s="22" t="n">
        <v>7361</v>
      </c>
      <c r="G771" s="24" t="inlineStr">
        <is>
          <t>https://guiarsanrafael.com.ar/empresa/guadalupe-arevalo/</t>
        </is>
      </c>
    </row>
    <row r="772">
      <c r="A772" s="19" t="n">
        <v>771</v>
      </c>
      <c r="B772" s="20" t="inlineStr">
        <is>
          <t>Guantánamo Bar</t>
        </is>
      </c>
      <c r="C772" s="14" t="inlineStr">
        <is>
          <t>Restaurantes parrilas</t>
        </is>
      </c>
      <c r="D772" s="14" t="inlineStr">
        <is>
          <t>Restaurantes</t>
        </is>
      </c>
      <c r="E772" s="19" t="n">
        <v>38</v>
      </c>
      <c r="F772" s="19" t="n">
        <v>10255</v>
      </c>
      <c r="G772" s="21" t="inlineStr">
        <is>
          <t>https://guiarsanrafael.com.ar/empresa/guantanamo-bar/</t>
        </is>
      </c>
    </row>
    <row r="773">
      <c r="A773" s="22" t="n">
        <v>772</v>
      </c>
      <c r="B773" s="23" t="inlineStr">
        <is>
          <t>Guardia José Luis</t>
        </is>
      </c>
      <c r="C773" s="12" t="inlineStr">
        <is>
          <t>Abogados abogadas estudios juridicos</t>
        </is>
      </c>
      <c r="D773" s="12" t="inlineStr">
        <is>
          <t>Abogados</t>
        </is>
      </c>
      <c r="E773" s="22" t="n">
        <v>116</v>
      </c>
      <c r="F773" s="22" t="n">
        <v>7150</v>
      </c>
      <c r="G773" s="24" t="inlineStr">
        <is>
          <t>https://guiarsanrafael.com.ar/empresa/guardia-jose-luis/</t>
        </is>
      </c>
    </row>
    <row r="774">
      <c r="A774" s="19" t="n">
        <v>773</v>
      </c>
      <c r="B774" s="20" t="inlineStr">
        <is>
          <t>Guerrero	Walter Emanuel</t>
        </is>
      </c>
      <c r="C774" s="14" t="inlineStr">
        <is>
          <t>Abogados abogadas estudios juridicos</t>
        </is>
      </c>
      <c r="D774" s="14" t="inlineStr">
        <is>
          <t>Abogados</t>
        </is>
      </c>
      <c r="E774" s="19" t="n">
        <v>108</v>
      </c>
      <c r="F774" s="19" t="n">
        <v>7252</v>
      </c>
      <c r="G774" s="21" t="inlineStr">
        <is>
          <t>https://guiarsanrafael.com.ar/empresa/guerrerowalter-emanuel/</t>
        </is>
      </c>
    </row>
    <row r="775">
      <c r="A775" s="22" t="n">
        <v>774</v>
      </c>
      <c r="B775" s="23" t="inlineStr">
        <is>
          <t>Guerrero Martín M.</t>
        </is>
      </c>
      <c r="C775" s="12" t="inlineStr">
        <is>
          <t>Abogados abogadas estudios juridicos</t>
        </is>
      </c>
      <c r="D775" s="12" t="inlineStr">
        <is>
          <t>Abogados</t>
        </is>
      </c>
      <c r="E775" s="22" t="n">
        <v>117</v>
      </c>
      <c r="F775" s="22" t="n">
        <v>7139</v>
      </c>
      <c r="G775" s="24" t="inlineStr">
        <is>
          <t>https://guiarsanrafael.com.ar/empresa/guerrero-martin-m/</t>
        </is>
      </c>
    </row>
    <row r="776">
      <c r="A776" s="19" t="n">
        <v>775</v>
      </c>
      <c r="B776" s="20" t="inlineStr">
        <is>
          <t>GUILLERMO CALLE</t>
        </is>
      </c>
      <c r="C776" s="14" t="inlineStr">
        <is>
          <t>Arquitetos arquitectura estudios tecnicos arquitecta</t>
        </is>
      </c>
      <c r="D776" s="14" t="inlineStr">
        <is>
          <t>Arquitectos</t>
        </is>
      </c>
      <c r="E776" s="19" t="n">
        <v>134</v>
      </c>
      <c r="F776" s="19" t="n">
        <v>6060</v>
      </c>
      <c r="G776" s="21" t="inlineStr">
        <is>
          <t>https://guiarsanrafael.com.ar/empresa/guillermo-calle/</t>
        </is>
      </c>
    </row>
    <row r="777">
      <c r="A777" s="22" t="n">
        <v>776</v>
      </c>
      <c r="B777" s="23" t="inlineStr">
        <is>
          <t>GUILLERMO FERNANDEZ</t>
        </is>
      </c>
      <c r="C777" s="12" t="inlineStr">
        <is>
          <t>Gastroenterologia</t>
        </is>
      </c>
      <c r="D777" s="12" t="inlineStr">
        <is>
          <t>Gastronomia</t>
        </is>
      </c>
      <c r="E777" s="22" t="n">
        <v>106</v>
      </c>
      <c r="F777" s="22" t="n">
        <v>7310</v>
      </c>
      <c r="G777" s="24" t="inlineStr">
        <is>
          <t>https://guiarsanrafael.com.ar/empresa/guillermo-fernandez-2/</t>
        </is>
      </c>
    </row>
    <row r="778">
      <c r="A778" s="19" t="n">
        <v>777</v>
      </c>
      <c r="B778" s="20" t="inlineStr">
        <is>
          <t>GUILLERMO FERNÁNDEZ</t>
        </is>
      </c>
      <c r="C778" s="14" t="inlineStr">
        <is>
          <t>Cirujanos cirugia</t>
        </is>
      </c>
      <c r="D778" s="14" t="inlineStr">
        <is>
          <t>Cirujanos</t>
        </is>
      </c>
      <c r="E778" s="19" t="n">
        <v>161</v>
      </c>
      <c r="F778" s="19" t="n">
        <v>5234</v>
      </c>
      <c r="G778" s="21" t="inlineStr">
        <is>
          <t>https://guiarsanrafael.com.ar/empresa/guillermo-fernandez/</t>
        </is>
      </c>
    </row>
    <row r="779">
      <c r="A779" s="22" t="n">
        <v>778</v>
      </c>
      <c r="B779" s="23" t="inlineStr">
        <is>
          <t>GUILLERMO ROSALES</t>
        </is>
      </c>
      <c r="C779" s="12" t="inlineStr">
        <is>
          <t>Kinesiologia y fisioterapia</t>
        </is>
      </c>
      <c r="D779" s="12" t="inlineStr">
        <is>
          <t>Kinesiologia y fisioterapia</t>
        </is>
      </c>
      <c r="E779" s="22" t="n">
        <v>132</v>
      </c>
      <c r="F779" s="22" t="n">
        <v>6257</v>
      </c>
      <c r="G779" s="24" t="inlineStr">
        <is>
          <t>https://guiarsanrafael.com.ar/empresa/guillermo-rosales/</t>
        </is>
      </c>
    </row>
    <row r="780">
      <c r="A780" s="19" t="n">
        <v>779</v>
      </c>
      <c r="B780" s="20" t="inlineStr">
        <is>
          <t>Guillén Giuliana M.</t>
        </is>
      </c>
      <c r="C780" s="14" t="inlineStr">
        <is>
          <t>Abogados abogadas estudios juridicos</t>
        </is>
      </c>
      <c r="D780" s="14" t="inlineStr">
        <is>
          <t>Abogadas</t>
        </is>
      </c>
      <c r="E780" s="19" t="n">
        <v>116</v>
      </c>
      <c r="F780" s="19" t="n">
        <v>7157</v>
      </c>
      <c r="G780" s="21" t="inlineStr">
        <is>
          <t>https://guiarsanrafael.com.ar/empresa/guillen-giuliana-m/</t>
        </is>
      </c>
    </row>
    <row r="781">
      <c r="A781" s="22" t="n">
        <v>780</v>
      </c>
      <c r="B781" s="23" t="inlineStr">
        <is>
          <t>GURU BIKES</t>
        </is>
      </c>
      <c r="C781" s="12" t="inlineStr">
        <is>
          <t>Bicicleterias</t>
        </is>
      </c>
      <c r="D781" s="12" t="inlineStr">
        <is>
          <t>Bicicleterias</t>
        </is>
      </c>
      <c r="E781" s="22" t="n">
        <v>170</v>
      </c>
      <c r="F781" s="22" t="n">
        <v>4534</v>
      </c>
      <c r="G781" s="24" t="inlineStr">
        <is>
          <t>https://guiarsanrafael.com.ar/empresa/guru-bikes/</t>
        </is>
      </c>
    </row>
    <row r="782">
      <c r="A782" s="19" t="n">
        <v>781</v>
      </c>
      <c r="B782" s="20" t="inlineStr">
        <is>
          <t>GUSTAVO ANTONINI</t>
        </is>
      </c>
      <c r="C782" s="14" t="inlineStr">
        <is>
          <t>Clinica medica</t>
        </is>
      </c>
      <c r="D782" s="14" t="inlineStr">
        <is>
          <t>Clinica medica</t>
        </is>
      </c>
      <c r="E782" s="19" t="n">
        <v>160</v>
      </c>
      <c r="F782" s="19" t="n">
        <v>5278</v>
      </c>
      <c r="G782" s="21" t="inlineStr">
        <is>
          <t>https://guiarsanrafael.com.ar/empresa/gustavo-antonini/</t>
        </is>
      </c>
    </row>
    <row r="783">
      <c r="A783" s="22" t="n">
        <v>782</v>
      </c>
      <c r="B783" s="23" t="inlineStr">
        <is>
          <t>Gustavo Giménez</t>
        </is>
      </c>
      <c r="C783" s="12" t="inlineStr">
        <is>
          <t>Clinica medica</t>
        </is>
      </c>
      <c r="D783" s="12" t="inlineStr">
        <is>
          <t>Clinica medica</t>
        </is>
      </c>
      <c r="E783" s="22" t="n">
        <v>159</v>
      </c>
      <c r="F783" s="22" t="n">
        <v>5286</v>
      </c>
      <c r="G783" s="24" t="inlineStr">
        <is>
          <t>https://guiarsanrafael.com.ar/empresa/gustavo-gimenez/</t>
        </is>
      </c>
    </row>
    <row r="784">
      <c r="A784" s="19" t="n">
        <v>783</v>
      </c>
      <c r="B784" s="20" t="inlineStr">
        <is>
          <t>Gustavo Grilli</t>
        </is>
      </c>
      <c r="C784" s="14" t="inlineStr">
        <is>
          <t>Neurocirugia neurocirujano infantil</t>
        </is>
      </c>
      <c r="D784" s="14" t="inlineStr">
        <is>
          <t>Neurocirugia</t>
        </is>
      </c>
      <c r="E784" s="19" t="n">
        <v>150</v>
      </c>
      <c r="F784" s="19" t="n">
        <v>5417</v>
      </c>
      <c r="G784" s="21" t="inlineStr">
        <is>
          <t>https://guiarsanrafael.com.ar/empresa/gustavo-grilli/</t>
        </is>
      </c>
    </row>
    <row r="785">
      <c r="A785" s="22" t="n">
        <v>784</v>
      </c>
      <c r="B785" s="23" t="inlineStr">
        <is>
          <t>Gutierrez	Indira Carolina</t>
        </is>
      </c>
      <c r="C785" s="12" t="inlineStr">
        <is>
          <t>Abogados abogadas estudios juridicos</t>
        </is>
      </c>
      <c r="D785" s="12" t="inlineStr">
        <is>
          <t>Abogadas</t>
        </is>
      </c>
      <c r="E785" s="22" t="n">
        <v>112</v>
      </c>
      <c r="F785" s="22" t="n">
        <v>7195</v>
      </c>
      <c r="G785" s="24" t="inlineStr">
        <is>
          <t>https://guiarsanrafael.com.ar/empresa/gutierrezindira-carolina/</t>
        </is>
      </c>
    </row>
    <row r="786">
      <c r="A786" s="19" t="n">
        <v>785</v>
      </c>
      <c r="B786" s="20" t="inlineStr">
        <is>
          <t>GUTIERREZ INDIRA CAROLINA</t>
        </is>
      </c>
      <c r="C786" s="14" t="inlineStr">
        <is>
          <t>Abogados abogadas estudios juridicos</t>
        </is>
      </c>
      <c r="D786" s="14" t="inlineStr">
        <is>
          <t>Abogadas</t>
        </is>
      </c>
      <c r="E786" s="19" t="n">
        <v>166</v>
      </c>
      <c r="F786" s="19" t="n">
        <v>4940</v>
      </c>
      <c r="G786" s="21" t="inlineStr">
        <is>
          <t>https://guiarsanrafael.com.ar/empresa/gutierrez-indira-carolina/</t>
        </is>
      </c>
    </row>
    <row r="787">
      <c r="A787" s="22" t="n">
        <v>786</v>
      </c>
      <c r="B787" s="23" t="inlineStr">
        <is>
          <t>GYM ART Gimnasia Artística</t>
        </is>
      </c>
      <c r="C787" s="12" t="inlineStr">
        <is>
          <t>(sin categoría)</t>
        </is>
      </c>
      <c r="D787" s="12" t="inlineStr">
        <is>
          <t>(sin ubicación)</t>
        </is>
      </c>
      <c r="E787" s="22" t="n">
        <v>25</v>
      </c>
      <c r="F787" s="22" t="n">
        <v>11670</v>
      </c>
      <c r="G787" s="24" t="inlineStr">
        <is>
          <t>https://guiarsanrafael.com.ar/empresa/gym-art-gimnasia-artistica/</t>
        </is>
      </c>
    </row>
    <row r="788">
      <c r="A788" s="19" t="n">
        <v>787</v>
      </c>
      <c r="B788" s="20" t="inlineStr">
        <is>
          <t>GÓMEZ DE YAPUR María Fernanda</t>
        </is>
      </c>
      <c r="C788" s="14" t="inlineStr">
        <is>
          <t>Escribanias escribanos escribanas mandatario mandataria notarios notarias</t>
        </is>
      </c>
      <c r="D788" s="14" t="inlineStr">
        <is>
          <t>Escribanas</t>
        </is>
      </c>
      <c r="E788" s="19" t="n">
        <v>83</v>
      </c>
      <c r="F788" s="19" t="n">
        <v>8188</v>
      </c>
      <c r="G788" s="21" t="inlineStr">
        <is>
          <t>https://guiarsanrafael.com.ar/empresa/gomez-de-yapur-maria-fernanda/</t>
        </is>
      </c>
    </row>
    <row r="789">
      <c r="A789" s="22" t="n">
        <v>788</v>
      </c>
      <c r="B789" s="23" t="inlineStr">
        <is>
          <t>HECATE Distibuidora Mayorista</t>
        </is>
      </c>
      <c r="C789" s="12" t="inlineStr">
        <is>
          <t>Decoracion</t>
        </is>
      </c>
      <c r="D789" s="12" t="inlineStr">
        <is>
          <t>Decoracion</t>
        </is>
      </c>
      <c r="E789" s="22" t="n">
        <v>9</v>
      </c>
      <c r="F789" s="22" t="n">
        <v>13860</v>
      </c>
      <c r="G789" s="24" t="inlineStr">
        <is>
          <t>https://guiarsanrafael.com.ar/empresa/hecate-distibuidora-mayorista/</t>
        </is>
      </c>
    </row>
    <row r="790">
      <c r="A790" s="19" t="n">
        <v>789</v>
      </c>
      <c r="B790" s="20" t="inlineStr">
        <is>
          <t>HECTOR MICCOLI</t>
        </is>
      </c>
      <c r="C790" s="14" t="inlineStr">
        <is>
          <t>Abogados abogadas estudios juridicos</t>
        </is>
      </c>
      <c r="D790" s="14" t="inlineStr">
        <is>
          <t>Abogados</t>
        </is>
      </c>
      <c r="E790" s="19" t="n">
        <v>19</v>
      </c>
      <c r="F790" s="19" t="n">
        <v>12396</v>
      </c>
      <c r="G790" s="21" t="inlineStr">
        <is>
          <t>https://guiarsanrafael.com.ar/empresa/hector-miccoli/</t>
        </is>
      </c>
    </row>
    <row r="791">
      <c r="A791" s="22" t="n">
        <v>790</v>
      </c>
      <c r="B791" s="23" t="inlineStr">
        <is>
          <t>HEMALAB Laboratorio Hematológico</t>
        </is>
      </c>
      <c r="C791" s="12" t="inlineStr">
        <is>
          <t>Hematologia</t>
        </is>
      </c>
      <c r="D791" s="12" t="inlineStr">
        <is>
          <t>Hematologia</t>
        </is>
      </c>
      <c r="E791" s="22" t="n">
        <v>154</v>
      </c>
      <c r="F791" s="22" t="n">
        <v>5351</v>
      </c>
      <c r="G791" s="24" t="inlineStr">
        <is>
          <t>https://guiarsanrafael.com.ar/empresa/hemalab-laboratorio-hematologico/</t>
        </is>
      </c>
    </row>
    <row r="792">
      <c r="A792" s="19" t="n">
        <v>791</v>
      </c>
      <c r="B792" s="20" t="inlineStr">
        <is>
          <t>Hernando Natalia</t>
        </is>
      </c>
      <c r="C792" s="14" t="inlineStr">
        <is>
          <t>Abogados abogadas estudios juridicos</t>
        </is>
      </c>
      <c r="D792" s="14" t="inlineStr">
        <is>
          <t>Abogadas</t>
        </is>
      </c>
      <c r="E792" s="19" t="n">
        <v>116</v>
      </c>
      <c r="F792" s="19" t="n">
        <v>7151</v>
      </c>
      <c r="G792" s="21" t="inlineStr">
        <is>
          <t>https://guiarsanrafael.com.ar/empresa/hernando-natalia/</t>
        </is>
      </c>
    </row>
    <row r="793">
      <c r="A793" s="22" t="n">
        <v>792</v>
      </c>
      <c r="B793" s="23" t="inlineStr">
        <is>
          <t>Hernán Alías Fernández</t>
        </is>
      </c>
      <c r="C793" s="12" t="inlineStr">
        <is>
          <t>Ginecologia y obsterticia</t>
        </is>
      </c>
      <c r="D793" s="12" t="inlineStr">
        <is>
          <t>Ginecologia y obsterticia</t>
        </is>
      </c>
      <c r="E793" s="22" t="n">
        <v>156</v>
      </c>
      <c r="F793" s="22" t="n">
        <v>5333</v>
      </c>
      <c r="G793" s="24" t="inlineStr">
        <is>
          <t>https://guiarsanrafael.com.ar/empresa/hernan-alias-fernandez/</t>
        </is>
      </c>
    </row>
    <row r="794">
      <c r="A794" s="19" t="n">
        <v>793</v>
      </c>
      <c r="B794" s="20" t="inlineStr">
        <is>
          <t>Hernández  Javier</t>
        </is>
      </c>
      <c r="C794" s="14" t="inlineStr">
        <is>
          <t>Traumatologia y ortopedia</t>
        </is>
      </c>
      <c r="D794" s="14" t="inlineStr">
        <is>
          <t>Traumatologia</t>
        </is>
      </c>
      <c r="E794" s="19" t="n">
        <v>141</v>
      </c>
      <c r="F794" s="19" t="n">
        <v>5540</v>
      </c>
      <c r="G794" s="21" t="inlineStr">
        <is>
          <t>https://guiarsanrafael.com.ar/empresa/hernandez-javier/</t>
        </is>
      </c>
    </row>
    <row r="795">
      <c r="A795" s="22" t="n">
        <v>794</v>
      </c>
      <c r="B795" s="23" t="inlineStr">
        <is>
          <t>Herrera Motos</t>
        </is>
      </c>
      <c r="C795" s="12" t="inlineStr">
        <is>
          <t>Mecanica de motos</t>
        </is>
      </c>
      <c r="D795" s="12" t="inlineStr">
        <is>
          <t>Mecanica de motos</t>
        </is>
      </c>
      <c r="E795" s="22" t="n">
        <v>71</v>
      </c>
      <c r="F795" s="22" t="n">
        <v>8448</v>
      </c>
      <c r="G795" s="24" t="inlineStr">
        <is>
          <t>https://guiarsanrafael.com.ar/empresa/herrera-motos/</t>
        </is>
      </c>
    </row>
    <row r="796">
      <c r="A796" s="19" t="n">
        <v>795</v>
      </c>
      <c r="B796" s="20" t="inlineStr">
        <is>
          <t>HERRERO GALDEANO Evelina María Del Mar</t>
        </is>
      </c>
      <c r="C796" s="14" t="inlineStr">
        <is>
          <t>Escribanias escribanos escribanas mandatario mandataria notarios notarias</t>
        </is>
      </c>
      <c r="D796" s="14" t="inlineStr">
        <is>
          <t>Escribanas</t>
        </is>
      </c>
      <c r="E796" s="19" t="n">
        <v>83</v>
      </c>
      <c r="F796" s="19" t="n">
        <v>8191</v>
      </c>
      <c r="G796" s="21" t="inlineStr">
        <is>
          <t>https://guiarsanrafael.com.ar/empresa/herrero-galdeano-evelina-maria-del-mar/</t>
        </is>
      </c>
    </row>
    <row r="797">
      <c r="A797" s="22" t="n">
        <v>796</v>
      </c>
      <c r="B797" s="23" t="inlineStr">
        <is>
          <t>HIDROKINESIA San Rafael</t>
        </is>
      </c>
      <c r="C797" s="12" t="inlineStr">
        <is>
          <t>Centro de rehabilitacion</t>
        </is>
      </c>
      <c r="D797" s="12" t="inlineStr">
        <is>
          <t>Centro de rehabilitacion</t>
        </is>
      </c>
      <c r="E797" s="22" t="n">
        <v>96</v>
      </c>
      <c r="F797" s="22" t="n">
        <v>7609</v>
      </c>
      <c r="G797" s="24" t="inlineStr">
        <is>
          <t>https://guiarsanrafael.com.ar/empresa/hidrokinesia-san-rafael/</t>
        </is>
      </c>
    </row>
    <row r="798">
      <c r="A798" s="19" t="n">
        <v>797</v>
      </c>
      <c r="B798" s="20" t="inlineStr">
        <is>
          <t>HIPER SERVICE</t>
        </is>
      </c>
      <c r="C798" s="14" t="inlineStr">
        <is>
          <t>Servicio de electrodomesticos service</t>
        </is>
      </c>
      <c r="D798" s="14" t="inlineStr">
        <is>
          <t>Servicio de electrodomesticos</t>
        </is>
      </c>
      <c r="E798" s="19" t="n">
        <v>165</v>
      </c>
      <c r="F798" s="19" t="n">
        <v>4966</v>
      </c>
      <c r="G798" s="21" t="inlineStr">
        <is>
          <t>https://guiarsanrafael.com.ar/empresa/hiper-service/</t>
        </is>
      </c>
    </row>
    <row r="799">
      <c r="A799" s="22" t="n">
        <v>798</v>
      </c>
      <c r="B799" s="23" t="inlineStr">
        <is>
          <t>HIPERPISOS Diseño &amp; Estilo</t>
        </is>
      </c>
      <c r="C799" s="12" t="inlineStr">
        <is>
          <t>Ceramicas</t>
        </is>
      </c>
      <c r="D799" s="12" t="inlineStr">
        <is>
          <t>Ceramicas</t>
        </is>
      </c>
      <c r="E799" s="22" t="n">
        <v>166</v>
      </c>
      <c r="F799" s="22" t="n">
        <v>4958</v>
      </c>
      <c r="G799" s="24" t="inlineStr">
        <is>
          <t>https://guiarsanrafael.com.ar/empresa/hiperpisos-diseno-estilo/</t>
        </is>
      </c>
    </row>
    <row r="800">
      <c r="A800" s="19" t="n">
        <v>799</v>
      </c>
      <c r="B800" s="20" t="inlineStr">
        <is>
          <t>HOJA Espacios Vivos</t>
        </is>
      </c>
      <c r="C800" s="14" t="inlineStr">
        <is>
          <t>Decoracion</t>
        </is>
      </c>
      <c r="D800" s="14" t="inlineStr">
        <is>
          <t>Decoracion</t>
        </is>
      </c>
      <c r="E800" s="19" t="n">
        <v>5</v>
      </c>
      <c r="F800" s="19" t="n">
        <v>14558</v>
      </c>
      <c r="G800" s="21" t="inlineStr">
        <is>
          <t>https://guiarsanrafael.com.ar/empresa/hojas-espacios-vivos/</t>
        </is>
      </c>
    </row>
    <row r="801">
      <c r="A801" s="22" t="n">
        <v>800</v>
      </c>
      <c r="B801" s="23" t="inlineStr">
        <is>
          <t>Hojalateria Peregrin</t>
        </is>
      </c>
      <c r="C801" s="12" t="inlineStr">
        <is>
          <t>Hojalateria</t>
        </is>
      </c>
      <c r="D801" s="12" t="inlineStr">
        <is>
          <t>Hojalateria</t>
        </is>
      </c>
      <c r="E801" s="22" t="n">
        <v>12</v>
      </c>
      <c r="F801" s="22" t="n">
        <v>13133</v>
      </c>
      <c r="G801" s="24" t="inlineStr">
        <is>
          <t>https://guiarsanrafael.com.ar/empresa/hojalateria-peregrin/</t>
        </is>
      </c>
    </row>
    <row r="802">
      <c r="A802" s="19" t="n">
        <v>801</v>
      </c>
      <c r="B802" s="20" t="inlineStr">
        <is>
          <t>HONU Cocinamos con Pasión</t>
        </is>
      </c>
      <c r="C802" s="14" t="inlineStr">
        <is>
          <t>Casa de comidas rotiseria viandas</t>
        </is>
      </c>
      <c r="D802" s="14" t="inlineStr">
        <is>
          <t>Casa de comidas</t>
        </is>
      </c>
      <c r="E802" s="19" t="n">
        <v>57</v>
      </c>
      <c r="F802" s="19" t="n">
        <v>9095</v>
      </c>
      <c r="G802" s="21" t="inlineStr">
        <is>
          <t>https://guiarsanrafael.com.ar/empresa/honu-cocinamos-con-pasion/</t>
        </is>
      </c>
    </row>
    <row r="803">
      <c r="A803" s="22" t="n">
        <v>802</v>
      </c>
      <c r="B803" s="23" t="inlineStr">
        <is>
          <t>Hostel Sigrum</t>
        </is>
      </c>
      <c r="C803" s="12" t="inlineStr">
        <is>
          <t>Alojamiento cabanas camping</t>
        </is>
      </c>
      <c r="D803" s="12" t="inlineStr">
        <is>
          <t>Alojamientos</t>
        </is>
      </c>
      <c r="E803" s="22" t="n">
        <v>58</v>
      </c>
      <c r="F803" s="22" t="n">
        <v>8954</v>
      </c>
      <c r="G803" s="24" t="inlineStr">
        <is>
          <t>https://guiarsanrafael.com.ar/empresa/hostel-sigrum/</t>
        </is>
      </c>
    </row>
    <row r="804">
      <c r="A804" s="19" t="n">
        <v>803</v>
      </c>
      <c r="B804" s="20" t="inlineStr">
        <is>
          <t>Hotel Alas</t>
        </is>
      </c>
      <c r="C804" s="14" t="inlineStr">
        <is>
          <t>Hoteles hostel hoteleria</t>
        </is>
      </c>
      <c r="D804" s="14" t="inlineStr">
        <is>
          <t>Alojamientos</t>
        </is>
      </c>
      <c r="E804" s="19" t="n">
        <v>91</v>
      </c>
      <c r="F804" s="19" t="n">
        <v>7849</v>
      </c>
      <c r="G804" s="21" t="inlineStr">
        <is>
          <t>https://guiarsanrafael.com.ar/empresa/hotel-alas/</t>
        </is>
      </c>
    </row>
    <row r="805">
      <c r="A805" s="22" t="n">
        <v>804</v>
      </c>
      <c r="B805" s="23" t="inlineStr">
        <is>
          <t>Hotel Francia</t>
        </is>
      </c>
      <c r="C805" s="12" t="inlineStr">
        <is>
          <t>Hoteles hostel hoteleria</t>
        </is>
      </c>
      <c r="D805" s="12" t="inlineStr">
        <is>
          <t>Alojamientos</t>
        </is>
      </c>
      <c r="E805" s="22" t="n">
        <v>92</v>
      </c>
      <c r="F805" s="22" t="n">
        <v>7844</v>
      </c>
      <c r="G805" s="24" t="inlineStr">
        <is>
          <t>https://guiarsanrafael.com.ar/empresa/hotel-francia/</t>
        </is>
      </c>
    </row>
    <row r="806">
      <c r="A806" s="19" t="n">
        <v>805</v>
      </c>
      <c r="B806" s="20" t="inlineStr">
        <is>
          <t>Hotel Kalton</t>
        </is>
      </c>
      <c r="C806" s="14" t="inlineStr">
        <is>
          <t>Hoteles hostel hoteleria</t>
        </is>
      </c>
      <c r="D806" s="14" t="inlineStr">
        <is>
          <t>Alojamientos</t>
        </is>
      </c>
      <c r="E806" s="19" t="n">
        <v>92</v>
      </c>
      <c r="F806" s="19" t="n">
        <v>7841</v>
      </c>
      <c r="G806" s="21" t="inlineStr">
        <is>
          <t>https://guiarsanrafael.com.ar/empresa/hotel-kalton/</t>
        </is>
      </c>
    </row>
    <row r="807">
      <c r="A807" s="22" t="n">
        <v>806</v>
      </c>
      <c r="B807" s="23" t="inlineStr">
        <is>
          <t>Hotel Nitra II</t>
        </is>
      </c>
      <c r="C807" s="12" t="inlineStr">
        <is>
          <t>Hoteles hostel hoteleria</t>
        </is>
      </c>
      <c r="D807" s="12" t="inlineStr">
        <is>
          <t>Alojamientos</t>
        </is>
      </c>
      <c r="E807" s="22" t="n">
        <v>91</v>
      </c>
      <c r="F807" s="22" t="n">
        <v>7850</v>
      </c>
      <c r="G807" s="24" t="inlineStr">
        <is>
          <t>https://guiarsanrafael.com.ar/empresa/hotel-nitra-ii/</t>
        </is>
      </c>
    </row>
    <row r="808">
      <c r="A808" s="19" t="n">
        <v>807</v>
      </c>
      <c r="B808" s="20" t="inlineStr">
        <is>
          <t>Hotel San Rafael</t>
        </is>
      </c>
      <c r="C808" s="14" t="inlineStr">
        <is>
          <t>Hoteles hostel hoteleria</t>
        </is>
      </c>
      <c r="D808" s="14" t="inlineStr">
        <is>
          <t>Alojamientos</t>
        </is>
      </c>
      <c r="E808" s="19" t="n">
        <v>93</v>
      </c>
      <c r="F808" s="19" t="n">
        <v>7832</v>
      </c>
      <c r="G808" s="21" t="inlineStr">
        <is>
          <t>https://guiarsanrafael.com.ar/empresa/hotel-san-rafael/</t>
        </is>
      </c>
    </row>
    <row r="809">
      <c r="A809" s="22" t="n">
        <v>808</v>
      </c>
      <c r="B809" s="23" t="inlineStr">
        <is>
          <t>Hotel Viñas</t>
        </is>
      </c>
      <c r="C809" s="12" t="inlineStr">
        <is>
          <t>Hoteles hostel hoteleria</t>
        </is>
      </c>
      <c r="D809" s="12" t="inlineStr">
        <is>
          <t>Alojamientos</t>
        </is>
      </c>
      <c r="E809" s="22" t="n">
        <v>91</v>
      </c>
      <c r="F809" s="22" t="n">
        <v>7851</v>
      </c>
      <c r="G809" s="24" t="inlineStr">
        <is>
          <t>https://guiarsanrafael.com.ar/empresa/hotel-vinas/</t>
        </is>
      </c>
    </row>
    <row r="810">
      <c r="A810" s="19" t="n">
        <v>809</v>
      </c>
      <c r="B810" s="20" t="inlineStr">
        <is>
          <t>HUELE A LIMPIO</t>
        </is>
      </c>
      <c r="C810" s="14" t="inlineStr">
        <is>
          <t>Articulos de limpieza todo suelto</t>
        </is>
      </c>
      <c r="D810" s="14" t="inlineStr">
        <is>
          <t>Articulos de limpieza</t>
        </is>
      </c>
      <c r="E810" s="19" t="n">
        <v>11</v>
      </c>
      <c r="F810" s="19" t="n">
        <v>13378</v>
      </c>
      <c r="G810" s="21" t="inlineStr">
        <is>
          <t>https://guiarsanrafael.com.ar/empresa/huele-a-limpio/</t>
        </is>
      </c>
    </row>
    <row r="811">
      <c r="A811" s="22" t="n">
        <v>810</v>
      </c>
      <c r="B811" s="23" t="inlineStr">
        <is>
          <t>Hugo Berdún</t>
        </is>
      </c>
      <c r="C811" s="12" t="inlineStr">
        <is>
          <t>Kinesiologia y fisioterapia</t>
        </is>
      </c>
      <c r="D811" s="12" t="inlineStr">
        <is>
          <t>Kinesiologia y fisioterapia</t>
        </is>
      </c>
      <c r="E811" s="22" t="n">
        <v>154</v>
      </c>
      <c r="F811" s="22" t="n">
        <v>5375</v>
      </c>
      <c r="G811" s="24" t="inlineStr">
        <is>
          <t>https://guiarsanrafael.com.ar/empresa/hugo-berdun/</t>
        </is>
      </c>
    </row>
    <row r="812">
      <c r="A812" s="19" t="n">
        <v>811</v>
      </c>
      <c r="B812" s="20" t="inlineStr">
        <is>
          <t>IDM Instituto Diagnóstico Médico</t>
        </is>
      </c>
      <c r="C812" s="14" t="inlineStr">
        <is>
          <t>Diagnostico por imagenes ecografia mamografias</t>
        </is>
      </c>
      <c r="D812" s="14" t="inlineStr">
        <is>
          <t>Diagnostico por imagenes</t>
        </is>
      </c>
      <c r="E812" s="19" t="n">
        <v>94</v>
      </c>
      <c r="F812" s="19" t="n">
        <v>7763</v>
      </c>
      <c r="G812" s="21" t="inlineStr">
        <is>
          <t>https://guiarsanrafael.com.ar/empresa/idm-instituto-diagnostico-medico/</t>
        </is>
      </c>
    </row>
    <row r="813">
      <c r="A813" s="22" t="n">
        <v>812</v>
      </c>
      <c r="B813" s="23" t="inlineStr">
        <is>
          <t>IDRAET Pro Institute San Rafael</t>
        </is>
      </c>
      <c r="C813" s="12" t="inlineStr">
        <is>
          <t>Cosmetica cosmetologia cosmetologa cosmiatra</t>
        </is>
      </c>
      <c r="D813" s="12" t="inlineStr">
        <is>
          <t>Cosmetica perfumeria</t>
        </is>
      </c>
      <c r="E813" s="22" t="n">
        <v>30</v>
      </c>
      <c r="F813" s="22" t="n">
        <v>11121</v>
      </c>
      <c r="G813" s="24" t="inlineStr">
        <is>
          <t>https://guiarsanrafael.com.ar/empresa/idraet-pro-institute-san-rafael/</t>
        </is>
      </c>
    </row>
    <row r="814">
      <c r="A814" s="19" t="n">
        <v>813</v>
      </c>
      <c r="B814" s="20" t="inlineStr">
        <is>
          <t>IGNASIO PLUCHINO</t>
        </is>
      </c>
      <c r="C814" s="14" t="inlineStr">
        <is>
          <t>Implantes</t>
        </is>
      </c>
      <c r="D814" s="14" t="inlineStr">
        <is>
          <t>Implantes</t>
        </is>
      </c>
      <c r="E814" s="19" t="n">
        <v>6</v>
      </c>
      <c r="F814" s="19" t="n">
        <v>14396</v>
      </c>
      <c r="G814" s="21" t="inlineStr">
        <is>
          <t>https://guiarsanrafael.com.ar/empresa/ignasio-pluchino/</t>
        </is>
      </c>
    </row>
    <row r="815">
      <c r="A815" s="22" t="n">
        <v>814</v>
      </c>
      <c r="B815" s="23" t="inlineStr">
        <is>
          <t>IL Indumentaria Laboral</t>
        </is>
      </c>
      <c r="C815" s="12" t="inlineStr">
        <is>
          <t>Indumentaria</t>
        </is>
      </c>
      <c r="D815" s="12" t="inlineStr">
        <is>
          <t>Indumentaria</t>
        </is>
      </c>
      <c r="E815" s="22" t="n">
        <v>23</v>
      </c>
      <c r="F815" s="22" t="n">
        <v>11888</v>
      </c>
      <c r="G815" s="24" t="inlineStr">
        <is>
          <t>https://guiarsanrafael.com.ar/empresa/il-indumentaria-laboral/</t>
        </is>
      </c>
    </row>
    <row r="816">
      <c r="A816" s="19" t="n">
        <v>815</v>
      </c>
      <c r="B816" s="20" t="inlineStr">
        <is>
          <t>INAGEN SALUD s.r.l.</t>
        </is>
      </c>
      <c r="C816" s="14" t="inlineStr">
        <is>
          <t>Diagnostico por imagenes ecografia mamografias</t>
        </is>
      </c>
      <c r="D816" s="14" t="inlineStr">
        <is>
          <t>Diagnostico por imagenes</t>
        </is>
      </c>
      <c r="E816" s="19" t="n">
        <v>133</v>
      </c>
      <c r="F816" s="19" t="n">
        <v>6112</v>
      </c>
      <c r="G816" s="21" t="inlineStr">
        <is>
          <t>https://guiarsanrafael.com.ar/empresa/inagen-salud-s-r-l/</t>
        </is>
      </c>
    </row>
    <row r="817">
      <c r="A817" s="22" t="n">
        <v>816</v>
      </c>
      <c r="B817" s="23" t="inlineStr">
        <is>
          <t>INDUMENTARIAS JOSEFINA</t>
        </is>
      </c>
      <c r="C817" s="12" t="inlineStr">
        <is>
          <t>Bordados</t>
        </is>
      </c>
      <c r="D817" s="12" t="inlineStr">
        <is>
          <t>Bordados</t>
        </is>
      </c>
      <c r="E817" s="22" t="n">
        <v>40</v>
      </c>
      <c r="F817" s="22" t="n">
        <v>10004</v>
      </c>
      <c r="G817" s="24" t="inlineStr">
        <is>
          <t>https://guiarsanrafael.com.ar/empresa/josefina-indumentaria/</t>
        </is>
      </c>
    </row>
    <row r="818">
      <c r="A818" s="19" t="n">
        <v>817</v>
      </c>
      <c r="B818" s="20" t="inlineStr">
        <is>
          <t>Industria Argentina Muebles</t>
        </is>
      </c>
      <c r="C818" s="14" t="inlineStr">
        <is>
          <t>Mueblerias muebles de oficina</t>
        </is>
      </c>
      <c r="D818" s="14" t="inlineStr">
        <is>
          <t>Mueblerias</t>
        </is>
      </c>
      <c r="E818" s="19" t="n">
        <v>17</v>
      </c>
      <c r="F818" s="19" t="n">
        <v>12565</v>
      </c>
      <c r="G818" s="21" t="inlineStr">
        <is>
          <t>https://guiarsanrafael.com.ar/empresa/industria-argentina-muebles/</t>
        </is>
      </c>
    </row>
    <row r="819">
      <c r="A819" s="22" t="n">
        <v>818</v>
      </c>
      <c r="B819" s="23" t="inlineStr">
        <is>
          <t>INFINIT BOX Gim</t>
        </is>
      </c>
      <c r="C819" s="12" t="inlineStr">
        <is>
          <t>Gimnasios gym</t>
        </is>
      </c>
      <c r="D819" s="12" t="inlineStr">
        <is>
          <t>Gimnasios</t>
        </is>
      </c>
      <c r="E819" s="22" t="n">
        <v>8</v>
      </c>
      <c r="F819" s="22" t="n">
        <v>14117</v>
      </c>
      <c r="G819" s="24" t="inlineStr">
        <is>
          <t>https://guiarsanrafael.com.ar/empresa/infinit-box-gim/</t>
        </is>
      </c>
    </row>
    <row r="820">
      <c r="A820" s="19" t="n">
        <v>819</v>
      </c>
      <c r="B820" s="20" t="inlineStr">
        <is>
          <t>INFORMATICA Servicios</t>
        </is>
      </c>
      <c r="C820" s="14" t="inlineStr">
        <is>
          <t>Impresoras</t>
        </is>
      </c>
      <c r="D820" s="14" t="inlineStr">
        <is>
          <t>Impresoras</t>
        </is>
      </c>
      <c r="E820" s="19" t="n">
        <v>7</v>
      </c>
      <c r="F820" s="19" t="n">
        <v>14220</v>
      </c>
      <c r="G820" s="21" t="inlineStr">
        <is>
          <t>https://guiarsanrafael.com.ar/empresa/informatica-servicios/</t>
        </is>
      </c>
    </row>
    <row r="821">
      <c r="A821" s="22" t="n">
        <v>820</v>
      </c>
      <c r="B821" s="23" t="inlineStr">
        <is>
          <t>INSTINTO Belleza y Bienestar</t>
        </is>
      </c>
      <c r="C821" s="12" t="inlineStr">
        <is>
          <t>Barberias peluqueria barberos</t>
        </is>
      </c>
      <c r="D821" s="12" t="inlineStr">
        <is>
          <t>Barberias</t>
        </is>
      </c>
      <c r="E821" s="22" t="n">
        <v>12</v>
      </c>
      <c r="F821" s="22" t="n">
        <v>13195</v>
      </c>
      <c r="G821" s="24" t="inlineStr">
        <is>
          <t>https://guiarsanrafael.com.ar/empresa/instinto-belleza-y-bienestar/</t>
        </is>
      </c>
    </row>
    <row r="822">
      <c r="A822" s="19" t="n">
        <v>821</v>
      </c>
      <c r="B822" s="20" t="inlineStr">
        <is>
          <t>INSTITUTO ARTRO SAN RAFAEL</t>
        </is>
      </c>
      <c r="C822" s="14" t="inlineStr">
        <is>
          <t>Institutos medicos consultorios medicos</t>
        </is>
      </c>
      <c r="D822" s="14" t="inlineStr">
        <is>
          <t>Instituto medico</t>
        </is>
      </c>
      <c r="E822" s="19" t="n">
        <v>127</v>
      </c>
      <c r="F822" s="19" t="n">
        <v>6550</v>
      </c>
      <c r="G822" s="21" t="inlineStr">
        <is>
          <t>https://guiarsanrafael.com.ar/empresa/artro-san-rafael/</t>
        </is>
      </c>
    </row>
    <row r="823">
      <c r="A823" s="22" t="n">
        <v>822</v>
      </c>
      <c r="B823" s="23" t="inlineStr">
        <is>
          <t>INSTITUTO DR. MERCADO  SURVISION S.A.</t>
        </is>
      </c>
      <c r="C823" s="12" t="inlineStr">
        <is>
          <t>Institutos oftalmologicos oftalmologia oftalmologos</t>
        </is>
      </c>
      <c r="D823" s="12" t="inlineStr">
        <is>
          <t>Centro oftalmologico</t>
        </is>
      </c>
      <c r="E823" s="22" t="n">
        <v>135</v>
      </c>
      <c r="F823" s="22" t="n">
        <v>6040</v>
      </c>
      <c r="G823" s="24" t="inlineStr">
        <is>
          <t>https://guiarsanrafael.com.ar/empresa/instituto-dr-mercado-survision-s-a/</t>
        </is>
      </c>
    </row>
    <row r="824">
      <c r="A824" s="19" t="n">
        <v>823</v>
      </c>
      <c r="B824" s="20" t="inlineStr">
        <is>
          <t>INTEGRAL PILATES</t>
        </is>
      </c>
      <c r="C824" s="14" t="inlineStr">
        <is>
          <t>Gimnasios gym</t>
        </is>
      </c>
      <c r="D824" s="14" t="inlineStr">
        <is>
          <t>Gimnasios</t>
        </is>
      </c>
      <c r="E824" s="19" t="n">
        <v>132</v>
      </c>
      <c r="F824" s="19" t="n">
        <v>6236</v>
      </c>
      <c r="G824" s="21" t="inlineStr">
        <is>
          <t>https://guiarsanrafael.com.ar/empresa/integral-pilates/</t>
        </is>
      </c>
    </row>
    <row r="825">
      <c r="A825" s="22" t="n">
        <v>824</v>
      </c>
      <c r="B825" s="23" t="inlineStr">
        <is>
          <t>INTER MOTOR</t>
        </is>
      </c>
      <c r="C825" s="12" t="inlineStr">
        <is>
          <t>Repuestos del automotor autopartes</t>
        </is>
      </c>
      <c r="D825" s="12" t="inlineStr">
        <is>
          <t>Autopartes</t>
        </is>
      </c>
      <c r="E825" s="22" t="n">
        <v>75</v>
      </c>
      <c r="F825" s="22" t="n">
        <v>8405</v>
      </c>
      <c r="G825" s="24" t="inlineStr">
        <is>
          <t>https://guiarsanrafael.com.ar/empresa/inter-motor/</t>
        </is>
      </c>
    </row>
    <row r="826">
      <c r="A826" s="19" t="n">
        <v>825</v>
      </c>
      <c r="B826" s="20" t="inlineStr">
        <is>
          <t>Inés Analy Rivelli</t>
        </is>
      </c>
      <c r="C826" s="14" t="inlineStr">
        <is>
          <t>Nutricion nutricionistas</t>
        </is>
      </c>
      <c r="D826" s="14" t="inlineStr">
        <is>
          <t>Nutricionistas</t>
        </is>
      </c>
      <c r="E826" s="19" t="n">
        <v>148</v>
      </c>
      <c r="F826" s="19" t="n">
        <v>5435</v>
      </c>
      <c r="G826" s="21" t="inlineStr">
        <is>
          <t>https://guiarsanrafael.com.ar/empresa/ines-analy-rivelli/</t>
        </is>
      </c>
    </row>
    <row r="827">
      <c r="A827" s="22" t="n">
        <v>826</v>
      </c>
      <c r="B827" s="23" t="inlineStr">
        <is>
          <t>IRC CIRCUITO HOGAR</t>
        </is>
      </c>
      <c r="C827" s="12" t="inlineStr">
        <is>
          <t>Aire acondicionado</t>
        </is>
      </c>
      <c r="D827" s="12" t="inlineStr">
        <is>
          <t>Aire acondicionado</t>
        </is>
      </c>
      <c r="E827" s="22" t="n">
        <v>25</v>
      </c>
      <c r="F827" s="22" t="n">
        <v>11730</v>
      </c>
      <c r="G827" s="24" t="inlineStr">
        <is>
          <t>https://guiarsanrafael.com.ar/empresa/irc-circuito-hogar/</t>
        </is>
      </c>
    </row>
    <row r="828">
      <c r="A828" s="19" t="n">
        <v>827</v>
      </c>
      <c r="B828" s="20" t="inlineStr">
        <is>
          <t>ISABELLA Masoterapeuta</t>
        </is>
      </c>
      <c r="C828" s="14" t="inlineStr">
        <is>
          <t>Masajes</t>
        </is>
      </c>
      <c r="D828" s="14" t="inlineStr">
        <is>
          <t>Masoterapeuta</t>
        </is>
      </c>
      <c r="E828" s="19" t="n">
        <v>5</v>
      </c>
      <c r="F828" s="19" t="n">
        <v>14477</v>
      </c>
      <c r="G828" s="21" t="inlineStr">
        <is>
          <t>https://guiarsanrafael.com.ar/empresa/isabella-masoterapeuta/</t>
        </is>
      </c>
    </row>
    <row r="829">
      <c r="A829" s="22" t="n">
        <v>828</v>
      </c>
      <c r="B829" s="23" t="inlineStr">
        <is>
          <t>ISACAR Automotores</t>
        </is>
      </c>
      <c r="C829" s="12" t="inlineStr">
        <is>
          <t>Agencia de autos automotores</t>
        </is>
      </c>
      <c r="D829" s="12" t="inlineStr">
        <is>
          <t>Agencia de autos</t>
        </is>
      </c>
      <c r="E829" s="22" t="n">
        <v>20</v>
      </c>
      <c r="F829" s="22" t="n">
        <v>12181</v>
      </c>
      <c r="G829" s="24" t="inlineStr">
        <is>
          <t>https://guiarsanrafael.com.ar/empresa/isacar-automotores/</t>
        </is>
      </c>
    </row>
    <row r="830">
      <c r="A830" s="19" t="n">
        <v>829</v>
      </c>
      <c r="B830" s="20" t="inlineStr">
        <is>
          <t>ISACAR Neumáticos</t>
        </is>
      </c>
      <c r="C830" s="14" t="inlineStr">
        <is>
          <t>Cubiertas neumaticos gomeria</t>
        </is>
      </c>
      <c r="D830" s="14" t="inlineStr">
        <is>
          <t>Cubiertas neumaticos gomeria</t>
        </is>
      </c>
      <c r="E830" s="19" t="n">
        <v>20</v>
      </c>
      <c r="F830" s="19" t="n">
        <v>12180</v>
      </c>
      <c r="G830" s="21" t="inlineStr">
        <is>
          <t>https://guiarsanrafael.com.ar/empresa/isacar-neumaticos/</t>
        </is>
      </c>
    </row>
    <row r="831">
      <c r="A831" s="22" t="n">
        <v>830</v>
      </c>
      <c r="B831" s="23" t="inlineStr">
        <is>
          <t>ISAIAS TEXTILES</t>
        </is>
      </c>
      <c r="C831" s="12" t="inlineStr">
        <is>
          <t>Mercerias</t>
        </is>
      </c>
      <c r="D831" s="12" t="inlineStr">
        <is>
          <t>Mercerias</t>
        </is>
      </c>
      <c r="E831" s="22" t="n">
        <v>23</v>
      </c>
      <c r="F831" s="22" t="n">
        <v>11926</v>
      </c>
      <c r="G831" s="24" t="inlineStr">
        <is>
          <t>https://guiarsanrafael.com.ar/empresa/trama-textiles/</t>
        </is>
      </c>
    </row>
    <row r="832">
      <c r="A832" s="19" t="n">
        <v>831</v>
      </c>
      <c r="B832" s="20" t="inlineStr">
        <is>
          <t>ISCC Instituto Superior de Carreras Cortas</t>
        </is>
      </c>
      <c r="C832" s="14" t="inlineStr">
        <is>
          <t>Educacion</t>
        </is>
      </c>
      <c r="D832" s="14" t="inlineStr">
        <is>
          <t>Carreras cortas</t>
        </is>
      </c>
      <c r="E832" s="19" t="n">
        <v>169</v>
      </c>
      <c r="F832" s="19" t="n">
        <v>4608</v>
      </c>
      <c r="G832" s="21" t="inlineStr">
        <is>
          <t>https://guiarsanrafael.com.ar/empresa/iscc-instituto-superior-de-carreras-cortas/</t>
        </is>
      </c>
    </row>
    <row r="833">
      <c r="A833" s="22" t="n">
        <v>832</v>
      </c>
      <c r="B833" s="23" t="inlineStr">
        <is>
          <t>ISELIN Artículos de Limpieza</t>
        </is>
      </c>
      <c r="C833" s="12" t="inlineStr">
        <is>
          <t>Articulos de limpieza todo suelto</t>
        </is>
      </c>
      <c r="D833" s="12" t="inlineStr">
        <is>
          <t>Articulos de limpieza</t>
        </is>
      </c>
      <c r="E833" s="22" t="n">
        <v>27</v>
      </c>
      <c r="F833" s="22" t="n">
        <v>11375</v>
      </c>
      <c r="G833" s="24" t="inlineStr">
        <is>
          <t>https://guiarsanrafael.com.ar/empresa/iselin-articulos-de-limpieza/</t>
        </is>
      </c>
    </row>
    <row r="834">
      <c r="A834" s="19" t="n">
        <v>833</v>
      </c>
      <c r="B834" s="20" t="inlineStr">
        <is>
          <t>ISIS Instituto Médico</t>
        </is>
      </c>
      <c r="C834" s="14" t="inlineStr">
        <is>
          <t>Consultorios medicos</t>
        </is>
      </c>
      <c r="D834" s="14" t="inlineStr">
        <is>
          <t>Consultorios medicos</t>
        </is>
      </c>
      <c r="E834" s="19" t="n">
        <v>35</v>
      </c>
      <c r="F834" s="19" t="n">
        <v>10430</v>
      </c>
      <c r="G834" s="21" t="inlineStr">
        <is>
          <t>https://guiarsanrafael.com.ar/empresa/isis-instituto-medico/</t>
        </is>
      </c>
    </row>
    <row r="835">
      <c r="A835" s="22" t="n">
        <v>834</v>
      </c>
      <c r="B835" s="23" t="inlineStr">
        <is>
          <t>ISIV San Rafael</t>
        </is>
      </c>
      <c r="C835" s="12" t="inlineStr">
        <is>
          <t>Educacion</t>
        </is>
      </c>
      <c r="D835" s="12" t="inlineStr">
        <is>
          <t>Carreras cortas</t>
        </is>
      </c>
      <c r="E835" s="22" t="n">
        <v>41</v>
      </c>
      <c r="F835" s="22" t="n">
        <v>10001</v>
      </c>
      <c r="G835" s="24" t="inlineStr">
        <is>
          <t>https://guiarsanrafael.com.ar/empresa/isiv-san-rafael/</t>
        </is>
      </c>
    </row>
    <row r="836">
      <c r="A836" s="19" t="n">
        <v>835</v>
      </c>
      <c r="B836" s="20" t="inlineStr">
        <is>
          <t>Istok Paola Vanesa</t>
        </is>
      </c>
      <c r="C836" s="14" t="inlineStr">
        <is>
          <t>Abogados abogadas estudios juridicos</t>
        </is>
      </c>
      <c r="D836" s="14" t="inlineStr">
        <is>
          <t>Abogadas</t>
        </is>
      </c>
      <c r="E836" s="19" t="n">
        <v>108</v>
      </c>
      <c r="F836" s="19" t="n">
        <v>7254</v>
      </c>
      <c r="G836" s="21" t="inlineStr">
        <is>
          <t>https://guiarsanrafael.com.ar/empresa/istok-paola-vanesa/</t>
        </is>
      </c>
    </row>
    <row r="837">
      <c r="A837" s="22" t="n">
        <v>836</v>
      </c>
      <c r="B837" s="23" t="inlineStr">
        <is>
          <t>IVAN LEMBO Mecánica GNC</t>
        </is>
      </c>
      <c r="C837" s="12" t="inlineStr">
        <is>
          <t>Mecanica del automotor automotriz</t>
        </is>
      </c>
      <c r="D837" s="12" t="inlineStr">
        <is>
          <t>Mecanica del automotor</t>
        </is>
      </c>
      <c r="E837" s="22" t="n">
        <v>8</v>
      </c>
      <c r="F837" s="22" t="n">
        <v>14082</v>
      </c>
      <c r="G837" s="24" t="inlineStr">
        <is>
          <t>https://guiarsanrafael.com.ar/empresa/ivan-lembo-mecanica-gnc/</t>
        </is>
      </c>
    </row>
    <row r="838">
      <c r="A838" s="19" t="n">
        <v>837</v>
      </c>
      <c r="B838" s="20" t="inlineStr">
        <is>
          <t>IVANA CAPONE</t>
        </is>
      </c>
      <c r="C838" s="14" t="inlineStr">
        <is>
          <t>Bioquimicos laboratorio</t>
        </is>
      </c>
      <c r="D838" s="14" t="inlineStr">
        <is>
          <t>Bioquimicos</t>
        </is>
      </c>
      <c r="E838" s="19" t="n">
        <v>132</v>
      </c>
      <c r="F838" s="19" t="n">
        <v>6172</v>
      </c>
      <c r="G838" s="21" t="inlineStr">
        <is>
          <t>https://guiarsanrafael.com.ar/empresa/ivana-capone/</t>
        </is>
      </c>
    </row>
    <row r="839">
      <c r="A839" s="22" t="n">
        <v>838</v>
      </c>
      <c r="B839" s="23" t="inlineStr">
        <is>
          <t>Iván Gómez Parra</t>
        </is>
      </c>
      <c r="C839" s="12" t="inlineStr">
        <is>
          <t>Odontologia</t>
        </is>
      </c>
      <c r="D839" s="12" t="inlineStr">
        <is>
          <t>Odontologia</t>
        </is>
      </c>
      <c r="E839" s="22" t="n">
        <v>103</v>
      </c>
      <c r="F839" s="22" t="n">
        <v>7384</v>
      </c>
      <c r="G839" s="24" t="inlineStr">
        <is>
          <t>https://guiarsanrafael.com.ar/empresa/ivan-gomez-parra/</t>
        </is>
      </c>
    </row>
    <row r="840">
      <c r="A840" s="19" t="n">
        <v>839</v>
      </c>
      <c r="B840" s="20" t="inlineStr">
        <is>
          <t>JACOB Indumentaria</t>
        </is>
      </c>
      <c r="C840" s="14" t="inlineStr">
        <is>
          <t>Indumentaria</t>
        </is>
      </c>
      <c r="D840" s="14" t="inlineStr">
        <is>
          <t>Indumentaria</t>
        </is>
      </c>
      <c r="E840" s="19" t="n">
        <v>4</v>
      </c>
      <c r="F840" s="19" t="n">
        <v>14687</v>
      </c>
      <c r="G840" s="21" t="inlineStr">
        <is>
          <t>https://guiarsanrafael.com.ar/empresa/jacob-indumentaria/</t>
        </is>
      </c>
    </row>
    <row r="841">
      <c r="A841" s="22" t="n">
        <v>840</v>
      </c>
      <c r="B841" s="23" t="inlineStr">
        <is>
          <t>Jacqueline Ellerbach</t>
        </is>
      </c>
      <c r="C841" s="12" t="inlineStr">
        <is>
          <t>Diagnostico por imagenes ecografia mamografias</t>
        </is>
      </c>
      <c r="D841" s="12" t="inlineStr">
        <is>
          <t>Diagnostico por imagenes</t>
        </is>
      </c>
      <c r="E841" s="22" t="n">
        <v>158</v>
      </c>
      <c r="F841" s="22" t="n">
        <v>5296</v>
      </c>
      <c r="G841" s="24" t="inlineStr">
        <is>
          <t>https://guiarsanrafael.com.ar/empresa/jacqueline-ellerbach/</t>
        </is>
      </c>
    </row>
    <row r="842">
      <c r="A842" s="19" t="n">
        <v>841</v>
      </c>
      <c r="B842" s="20" t="inlineStr">
        <is>
          <t>Jalif	Cristian Alejandro</t>
        </is>
      </c>
      <c r="C842" s="14" t="inlineStr">
        <is>
          <t>Abogados abogadas estudios juridicos</t>
        </is>
      </c>
      <c r="D842" s="14" t="inlineStr">
        <is>
          <t>Abogados</t>
        </is>
      </c>
      <c r="E842" s="19" t="n">
        <v>108</v>
      </c>
      <c r="F842" s="19" t="n">
        <v>7260</v>
      </c>
      <c r="G842" s="21" t="inlineStr">
        <is>
          <t>https://guiarsanrafael.com.ar/empresa/jalifcristian-alejandro/</t>
        </is>
      </c>
    </row>
    <row r="843">
      <c r="A843" s="22" t="n">
        <v>842</v>
      </c>
      <c r="B843" s="23" t="inlineStr">
        <is>
          <t>JAM ROD Power Sport San Rafael</t>
        </is>
      </c>
      <c r="C843" s="12" t="inlineStr">
        <is>
          <t>Alquiler de bicicletas</t>
        </is>
      </c>
      <c r="D843" s="12" t="inlineStr">
        <is>
          <t>Alquiler de bicicletas</t>
        </is>
      </c>
      <c r="E843" s="22" t="n">
        <v>5</v>
      </c>
      <c r="F843" s="22" t="n">
        <v>14535</v>
      </c>
      <c r="G843" s="24" t="inlineStr">
        <is>
          <t>https://guiarsanrafael.com.ar/empresa/jam-rod-power-sport-san-rafael/</t>
        </is>
      </c>
    </row>
    <row r="844">
      <c r="A844" s="19" t="n">
        <v>843</v>
      </c>
      <c r="B844" s="20" t="inlineStr">
        <is>
          <t>JAMON y QUESO Fiambrería</t>
        </is>
      </c>
      <c r="C844" s="14" t="inlineStr">
        <is>
          <t>Fiambrerias</t>
        </is>
      </c>
      <c r="D844" s="14" t="inlineStr">
        <is>
          <t>Fiamfreria</t>
        </is>
      </c>
      <c r="E844" s="19" t="n">
        <v>6</v>
      </c>
      <c r="F844" s="19" t="n">
        <v>14382</v>
      </c>
      <c r="G844" s="21" t="inlineStr">
        <is>
          <t>https://guiarsanrafael.com.ar/empresa/jamon-y-queso-fiambreria/</t>
        </is>
      </c>
    </row>
    <row r="845">
      <c r="A845" s="22" t="n">
        <v>844</v>
      </c>
      <c r="B845" s="23" t="inlineStr">
        <is>
          <t>JARDIN CORAL Plantas &amp; Flores</t>
        </is>
      </c>
      <c r="C845" s="12" t="inlineStr">
        <is>
          <t>Jardineria</t>
        </is>
      </c>
      <c r="D845" s="12" t="inlineStr">
        <is>
          <t>Jardineria</t>
        </is>
      </c>
      <c r="E845" s="22" t="n">
        <v>8</v>
      </c>
      <c r="F845" s="22" t="n">
        <v>14064</v>
      </c>
      <c r="G845" s="24" t="inlineStr">
        <is>
          <t>https://guiarsanrafael.com.ar/empresa/jardin-coral-plantas-flores/</t>
        </is>
      </c>
    </row>
    <row r="846">
      <c r="A846" s="19" t="n">
        <v>845</v>
      </c>
      <c r="B846" s="20" t="inlineStr">
        <is>
          <t>JAVIER ALFONSO</t>
        </is>
      </c>
      <c r="C846" s="14" t="inlineStr">
        <is>
          <t>Kinesiologia y fisioterapia</t>
        </is>
      </c>
      <c r="D846" s="14" t="inlineStr">
        <is>
          <t>Centro de rehabilitacion</t>
        </is>
      </c>
      <c r="E846" s="19" t="n">
        <v>53</v>
      </c>
      <c r="F846" s="19" t="n">
        <v>9257</v>
      </c>
      <c r="G846" s="21" t="inlineStr">
        <is>
          <t>https://guiarsanrafael.com.ar/empresa/javier-alfonso/</t>
        </is>
      </c>
    </row>
    <row r="847">
      <c r="A847" s="22" t="n">
        <v>846</v>
      </c>
      <c r="B847" s="23" t="inlineStr">
        <is>
          <t>JAVIER HERNANDEZ ZAPARRAT</t>
        </is>
      </c>
      <c r="C847" s="12" t="inlineStr">
        <is>
          <t>Escribanias escribanos escribanas mandatario mandataria notarios notarias</t>
        </is>
      </c>
      <c r="D847" s="12" t="inlineStr">
        <is>
          <t>Escribanas</t>
        </is>
      </c>
      <c r="E847" s="22" t="n">
        <v>139</v>
      </c>
      <c r="F847" s="22" t="n">
        <v>5716</v>
      </c>
      <c r="G847" s="24" t="inlineStr">
        <is>
          <t>https://guiarsanrafael.com.ar/empresa/javier-hernandez-zaparrat/</t>
        </is>
      </c>
    </row>
    <row r="848">
      <c r="A848" s="19" t="n">
        <v>847</v>
      </c>
      <c r="B848" s="20" t="inlineStr">
        <is>
          <t>Javier Labbé</t>
        </is>
      </c>
      <c r="C848" s="14" t="inlineStr">
        <is>
          <t>Odontologia</t>
        </is>
      </c>
      <c r="D848" s="14" t="inlineStr">
        <is>
          <t>Odontologia</t>
        </is>
      </c>
      <c r="E848" s="19" t="n">
        <v>103</v>
      </c>
      <c r="F848" s="19" t="n">
        <v>7387</v>
      </c>
      <c r="G848" s="21" t="inlineStr">
        <is>
          <t>https://guiarsanrafael.com.ar/empresa/javier-labbe/</t>
        </is>
      </c>
    </row>
    <row r="849">
      <c r="A849" s="22" t="n">
        <v>848</v>
      </c>
      <c r="B849" s="23" t="inlineStr">
        <is>
          <t>Javier Morganti</t>
        </is>
      </c>
      <c r="C849" s="12" t="inlineStr">
        <is>
          <t>Odontologia</t>
        </is>
      </c>
      <c r="D849" s="12" t="inlineStr">
        <is>
          <t>Odontologia</t>
        </is>
      </c>
      <c r="E849" s="22" t="n">
        <v>101</v>
      </c>
      <c r="F849" s="22" t="n">
        <v>7398</v>
      </c>
      <c r="G849" s="24" t="inlineStr">
        <is>
          <t>https://guiarsanrafael.com.ar/empresa/javier-morganti/</t>
        </is>
      </c>
    </row>
    <row r="850">
      <c r="A850" s="19" t="n">
        <v>849</v>
      </c>
      <c r="B850" s="20" t="inlineStr">
        <is>
          <t>JAVIER RAUL CABAÑA</t>
        </is>
      </c>
      <c r="C850" s="14" t="inlineStr">
        <is>
          <t>Ginecologia y obsterticia</t>
        </is>
      </c>
      <c r="D850" s="14" t="inlineStr">
        <is>
          <t>Ginecologia y obsterticia</t>
        </is>
      </c>
      <c r="E850" s="19" t="n">
        <v>155</v>
      </c>
      <c r="F850" s="19" t="n">
        <v>5334</v>
      </c>
      <c r="G850" s="21" t="inlineStr">
        <is>
          <t>https://guiarsanrafael.com.ar/empresa/javier-raul-cabana/</t>
        </is>
      </c>
    </row>
    <row r="851">
      <c r="A851" s="22" t="n">
        <v>850</v>
      </c>
      <c r="B851" s="23" t="inlineStr">
        <is>
          <t>JAVIER SAN JUAN</t>
        </is>
      </c>
      <c r="C851" s="12" t="inlineStr">
        <is>
          <t>Abogados abogadas estudios juridicos</t>
        </is>
      </c>
      <c r="D851" s="12" t="inlineStr">
        <is>
          <t>Abogadas</t>
        </is>
      </c>
      <c r="E851" s="22" t="n">
        <v>24</v>
      </c>
      <c r="F851" s="22" t="n">
        <v>11745</v>
      </c>
      <c r="G851" s="24" t="inlineStr">
        <is>
          <t>https://guiarsanrafael.com.ar/empresa/javier-san-juan/</t>
        </is>
      </c>
    </row>
    <row r="852">
      <c r="A852" s="19" t="n">
        <v>851</v>
      </c>
      <c r="B852" s="20" t="inlineStr">
        <is>
          <t>JEAN RIVIER Bodega y Viñedos</t>
        </is>
      </c>
      <c r="C852" s="14" t="inlineStr">
        <is>
          <t>Bodegas vinedos fincas</t>
        </is>
      </c>
      <c r="D852" s="14" t="inlineStr">
        <is>
          <t>Bodegas y vinedos</t>
        </is>
      </c>
      <c r="E852" s="19" t="n">
        <v>47</v>
      </c>
      <c r="F852" s="19" t="n">
        <v>9426</v>
      </c>
      <c r="G852" s="21" t="inlineStr">
        <is>
          <t>https://guiarsanrafael.com.ar/empresa/jean-rivier-bodega-y-vinedos/</t>
        </is>
      </c>
    </row>
    <row r="853">
      <c r="A853" s="22" t="n">
        <v>852</v>
      </c>
      <c r="B853" s="23" t="inlineStr">
        <is>
          <t>JENNIFER COZZARI</t>
        </is>
      </c>
      <c r="C853" s="12" t="inlineStr">
        <is>
          <t>Cardiologia medico cardiologo</t>
        </is>
      </c>
      <c r="D853" s="12" t="inlineStr">
        <is>
          <t>Cardiologia</t>
        </is>
      </c>
      <c r="E853" s="22" t="n">
        <v>164</v>
      </c>
      <c r="F853" s="22" t="n">
        <v>5046</v>
      </c>
      <c r="G853" s="24" t="inlineStr">
        <is>
          <t>https://guiarsanrafael.com.ar/empresa/jennifer-cozzari/</t>
        </is>
      </c>
    </row>
    <row r="854">
      <c r="A854" s="19" t="n">
        <v>853</v>
      </c>
      <c r="B854" s="20" t="inlineStr">
        <is>
          <t>Jennifer Lagunas Roldán</t>
        </is>
      </c>
      <c r="C854" s="14" t="inlineStr">
        <is>
          <t>Oftalmologia oftalmologos</t>
        </is>
      </c>
      <c r="D854" s="14" t="inlineStr">
        <is>
          <t>Centro oftalmologico</t>
        </is>
      </c>
      <c r="E854" s="19" t="n">
        <v>148</v>
      </c>
      <c r="F854" s="19" t="n">
        <v>5447</v>
      </c>
      <c r="G854" s="21" t="inlineStr">
        <is>
          <t>https://guiarsanrafael.com.ar/empresa/jennifer-lagunas-roldan/</t>
        </is>
      </c>
    </row>
    <row r="855">
      <c r="A855" s="22" t="n">
        <v>854</v>
      </c>
      <c r="B855" s="23" t="inlineStr">
        <is>
          <t>JERIMIAS MONTOYA</t>
        </is>
      </c>
      <c r="C855" s="12" t="inlineStr">
        <is>
          <t>Kinesiologia y fisioterapia</t>
        </is>
      </c>
      <c r="D855" s="12" t="inlineStr">
        <is>
          <t>Kinesiologia y fisioterapia</t>
        </is>
      </c>
      <c r="E855" s="22" t="n">
        <v>6</v>
      </c>
      <c r="F855" s="22" t="n">
        <v>14340</v>
      </c>
      <c r="G855" s="24" t="inlineStr">
        <is>
          <t>https://guiarsanrafael.com.ar/empresa/jerimias-montoya/</t>
        </is>
      </c>
    </row>
    <row r="856">
      <c r="A856" s="19" t="n">
        <v>855</v>
      </c>
      <c r="B856" s="20" t="inlineStr">
        <is>
          <t>Jesica Araya</t>
        </is>
      </c>
      <c r="C856" s="14" t="inlineStr">
        <is>
          <t>Kinesiologia y fisioterapia</t>
        </is>
      </c>
      <c r="D856" s="14" t="inlineStr">
        <is>
          <t>Kinesiologia y fisioterapia</t>
        </is>
      </c>
      <c r="E856" s="19" t="n">
        <v>154</v>
      </c>
      <c r="F856" s="19" t="n">
        <v>5373</v>
      </c>
      <c r="G856" s="21" t="inlineStr">
        <is>
          <t>https://guiarsanrafael.com.ar/empresa/jesica-araya/</t>
        </is>
      </c>
    </row>
    <row r="857">
      <c r="A857" s="22" t="n">
        <v>856</v>
      </c>
      <c r="B857" s="23" t="inlineStr">
        <is>
          <t>Jimena Prieto</t>
        </is>
      </c>
      <c r="C857" s="12" t="inlineStr">
        <is>
          <t>Odontologia</t>
        </is>
      </c>
      <c r="D857" s="12" t="inlineStr">
        <is>
          <t>Odontologia</t>
        </is>
      </c>
      <c r="E857" s="22" t="n">
        <v>100</v>
      </c>
      <c r="F857" s="22" t="n">
        <v>7460</v>
      </c>
      <c r="G857" s="24" t="inlineStr">
        <is>
          <t>https://guiarsanrafael.com.ar/empresa/jimena-prieto/</t>
        </is>
      </c>
    </row>
    <row r="858">
      <c r="A858" s="19" t="n">
        <v>857</v>
      </c>
      <c r="B858" s="20" t="inlineStr">
        <is>
          <t>JJM Distribuidora Peluquería Barbería</t>
        </is>
      </c>
      <c r="C858" s="14" t="inlineStr">
        <is>
          <t>Barberias peluqueria barberos</t>
        </is>
      </c>
      <c r="D858" s="14" t="inlineStr">
        <is>
          <t>Barberias</t>
        </is>
      </c>
      <c r="E858" s="19" t="n">
        <v>34</v>
      </c>
      <c r="F858" s="19" t="n">
        <v>10500</v>
      </c>
      <c r="G858" s="21" t="inlineStr">
        <is>
          <t>https://guiarsanrafael.com.ar/empresa/jjm-distribuidora-peluqueria-barberia/</t>
        </is>
      </c>
    </row>
    <row r="859">
      <c r="A859" s="22" t="n">
        <v>858</v>
      </c>
      <c r="B859" s="23" t="inlineStr">
        <is>
          <t>JL MUEBLES San Rafael</t>
        </is>
      </c>
      <c r="C859" s="12" t="inlineStr">
        <is>
          <t>Amoblamientos</t>
        </is>
      </c>
      <c r="D859" s="12" t="inlineStr">
        <is>
          <t>Amoblamientos</t>
        </is>
      </c>
      <c r="E859" s="22" t="n">
        <v>129</v>
      </c>
      <c r="F859" s="22" t="n">
        <v>6425</v>
      </c>
      <c r="G859" s="24" t="inlineStr">
        <is>
          <t>https://guiarsanrafael.com.ar/empresa/jl-muebles-san-rafael/</t>
        </is>
      </c>
    </row>
    <row r="860">
      <c r="A860" s="19" t="n">
        <v>859</v>
      </c>
      <c r="B860" s="20" t="inlineStr">
        <is>
          <t>JM Carpintería de Aluminio</t>
        </is>
      </c>
      <c r="C860" s="14" t="inlineStr">
        <is>
          <t>Aberturas</t>
        </is>
      </c>
      <c r="D860" s="14" t="inlineStr">
        <is>
          <t>Aberturas</t>
        </is>
      </c>
      <c r="E860" s="19" t="n">
        <v>126</v>
      </c>
      <c r="F860" s="19" t="n">
        <v>6601</v>
      </c>
      <c r="G860" s="21" t="inlineStr">
        <is>
          <t>https://guiarsanrafael.com.ar/empresa/jm-carpinteria-de-aluminio/</t>
        </is>
      </c>
    </row>
    <row r="861">
      <c r="A861" s="22" t="n">
        <v>860</v>
      </c>
      <c r="B861" s="23" t="inlineStr">
        <is>
          <t>JM Todo en Descartables</t>
        </is>
      </c>
      <c r="C861" s="12" t="inlineStr">
        <is>
          <t>Bazar regaleria</t>
        </is>
      </c>
      <c r="D861" s="12" t="inlineStr">
        <is>
          <t>Cotillon</t>
        </is>
      </c>
      <c r="E861" s="22" t="n">
        <v>169</v>
      </c>
      <c r="F861" s="22" t="n">
        <v>4637</v>
      </c>
      <c r="G861" s="24" t="inlineStr">
        <is>
          <t>https://guiarsanrafael.com.ar/empresa/jm-todo-en-descartables/</t>
        </is>
      </c>
    </row>
    <row r="862">
      <c r="A862" s="19" t="n">
        <v>861</v>
      </c>
      <c r="B862" s="20" t="inlineStr">
        <is>
          <t>JN COMPETICION</t>
        </is>
      </c>
      <c r="C862" s="14" t="inlineStr">
        <is>
          <t>Bicicleterias</t>
        </is>
      </c>
      <c r="D862" s="14" t="inlineStr">
        <is>
          <t>Bicicleterias</t>
        </is>
      </c>
      <c r="E862" s="19" t="n">
        <v>12</v>
      </c>
      <c r="F862" s="19" t="n">
        <v>13275</v>
      </c>
      <c r="G862" s="21" t="inlineStr">
        <is>
          <t>https://guiarsanrafael.com.ar/empresa/jn-competicion/</t>
        </is>
      </c>
    </row>
    <row r="863">
      <c r="A863" s="22" t="n">
        <v>862</v>
      </c>
      <c r="B863" s="23" t="inlineStr">
        <is>
          <t>Joaquin Lerga</t>
        </is>
      </c>
      <c r="C863" s="12" t="inlineStr">
        <is>
          <t>Odontologia</t>
        </is>
      </c>
      <c r="D863" s="12" t="inlineStr">
        <is>
          <t>Odontologia</t>
        </is>
      </c>
      <c r="E863" s="22" t="n">
        <v>102</v>
      </c>
      <c r="F863" s="22" t="n">
        <v>7390</v>
      </c>
      <c r="G863" s="24" t="inlineStr">
        <is>
          <t>https://guiarsanrafael.com.ar/empresa/joaquin-lerga/</t>
        </is>
      </c>
    </row>
    <row r="864">
      <c r="A864" s="19" t="n">
        <v>863</v>
      </c>
      <c r="B864" s="20" t="inlineStr">
        <is>
          <t>Jofré Luis Alberto</t>
        </is>
      </c>
      <c r="C864" s="14" t="inlineStr">
        <is>
          <t>Abogados abogadas estudios juridicos</t>
        </is>
      </c>
      <c r="D864" s="14" t="inlineStr">
        <is>
          <t>Abogados</t>
        </is>
      </c>
      <c r="E864" s="19" t="n">
        <v>115</v>
      </c>
      <c r="F864" s="19" t="n">
        <v>7159</v>
      </c>
      <c r="G864" s="21" t="inlineStr">
        <is>
          <t>https://guiarsanrafael.com.ar/empresa/jofre-luis-alberto/</t>
        </is>
      </c>
    </row>
    <row r="865">
      <c r="A865" s="22" t="n">
        <v>864</v>
      </c>
      <c r="B865" s="23" t="inlineStr">
        <is>
          <t>Johana Reche</t>
        </is>
      </c>
      <c r="C865" s="12" t="inlineStr">
        <is>
          <t>Nutricion nutricionistas</t>
        </is>
      </c>
      <c r="D865" s="12" t="inlineStr">
        <is>
          <t>Nutricionistas</t>
        </is>
      </c>
      <c r="E865" s="22" t="n">
        <v>148</v>
      </c>
      <c r="F865" s="22" t="n">
        <v>5434</v>
      </c>
      <c r="G865" s="24" t="inlineStr">
        <is>
          <t>https://guiarsanrafael.com.ar/empresa/johana-reche/</t>
        </is>
      </c>
    </row>
    <row r="866">
      <c r="A866" s="19" t="n">
        <v>865</v>
      </c>
      <c r="B866" s="20" t="inlineStr">
        <is>
          <t>Jorge Di Césare</t>
        </is>
      </c>
      <c r="C866" s="14" t="inlineStr">
        <is>
          <t>Gastroenterologia</t>
        </is>
      </c>
      <c r="D866" s="14" t="inlineStr">
        <is>
          <t>Gastroenterologia</t>
        </is>
      </c>
      <c r="E866" s="19" t="n">
        <v>156</v>
      </c>
      <c r="F866" s="19" t="n">
        <v>5328</v>
      </c>
      <c r="G866" s="21" t="inlineStr">
        <is>
          <t>https://guiarsanrafael.com.ar/empresa/jorge-di-cesare/</t>
        </is>
      </c>
    </row>
    <row r="867">
      <c r="A867" s="22" t="n">
        <v>866</v>
      </c>
      <c r="B867" s="23" t="inlineStr">
        <is>
          <t>Jorge Giaroli</t>
        </is>
      </c>
      <c r="C867" s="12" t="inlineStr">
        <is>
          <t>Pediatria neonatologia</t>
        </is>
      </c>
      <c r="D867" s="12" t="inlineStr">
        <is>
          <t>Pediatria y neonatologia</t>
        </is>
      </c>
      <c r="E867" s="22" t="n">
        <v>146</v>
      </c>
      <c r="F867" s="22" t="n">
        <v>5476</v>
      </c>
      <c r="G867" s="24" t="inlineStr">
        <is>
          <t>https://guiarsanrafael.com.ar/empresa/jorge-giaroli/</t>
        </is>
      </c>
    </row>
    <row r="868">
      <c r="A868" s="19" t="n">
        <v>867</v>
      </c>
      <c r="B868" s="20" t="inlineStr">
        <is>
          <t>JORGE GOMILA</t>
        </is>
      </c>
      <c r="C868" s="14" t="inlineStr">
        <is>
          <t>Anatomia patologica</t>
        </is>
      </c>
      <c r="D868" s="14" t="inlineStr">
        <is>
          <t>Anatomia patologica</t>
        </is>
      </c>
      <c r="E868" s="19" t="n">
        <v>169</v>
      </c>
      <c r="F868" s="19" t="n">
        <v>4593</v>
      </c>
      <c r="G868" s="21" t="inlineStr">
        <is>
          <t>https://guiarsanrafael.com.ar/empresa/jorge-gomila/</t>
        </is>
      </c>
    </row>
    <row r="869">
      <c r="A869" s="22" t="n">
        <v>868</v>
      </c>
      <c r="B869" s="23" t="inlineStr">
        <is>
          <t>Jorge López</t>
        </is>
      </c>
      <c r="C869" s="12" t="inlineStr">
        <is>
          <t>Oftalmologia oftalmologos</t>
        </is>
      </c>
      <c r="D869" s="12" t="inlineStr">
        <is>
          <t>Oftalmologia</t>
        </is>
      </c>
      <c r="E869" s="22" t="n">
        <v>148</v>
      </c>
      <c r="F869" s="22" t="n">
        <v>5449</v>
      </c>
      <c r="G869" s="24" t="inlineStr">
        <is>
          <t>https://guiarsanrafael.com.ar/empresa/jorge-lopez/</t>
        </is>
      </c>
    </row>
    <row r="870">
      <c r="A870" s="19" t="n">
        <v>869</v>
      </c>
      <c r="B870" s="20" t="inlineStr">
        <is>
          <t>JORGE MERCADO</t>
        </is>
      </c>
      <c r="C870" s="14" t="inlineStr">
        <is>
          <t>Oftalmologia oftalmologos</t>
        </is>
      </c>
      <c r="D870" s="14" t="inlineStr">
        <is>
          <t>Oftalmologia</t>
        </is>
      </c>
      <c r="E870" s="19" t="n">
        <v>134</v>
      </c>
      <c r="F870" s="19" t="n">
        <v>6041</v>
      </c>
      <c r="G870" s="21" t="inlineStr">
        <is>
          <t>https://guiarsanrafael.com.ar/empresa/jorge-mercado/</t>
        </is>
      </c>
    </row>
    <row r="871">
      <c r="A871" s="22" t="n">
        <v>870</v>
      </c>
      <c r="B871" s="23" t="inlineStr">
        <is>
          <t>JORGE SAMBRIZZI</t>
        </is>
      </c>
      <c r="C871" s="12" t="inlineStr">
        <is>
          <t>Ginecologia y obsterticia</t>
        </is>
      </c>
      <c r="D871" s="12" t="inlineStr">
        <is>
          <t>Ginecologia y obsterticia</t>
        </is>
      </c>
      <c r="E871" s="22" t="n">
        <v>106</v>
      </c>
      <c r="F871" s="22" t="n">
        <v>7305</v>
      </c>
      <c r="G871" s="24" t="inlineStr">
        <is>
          <t>https://guiarsanrafael.com.ar/empresa/jorge-sambrizzi/</t>
        </is>
      </c>
    </row>
    <row r="872">
      <c r="A872" s="19" t="n">
        <v>871</v>
      </c>
      <c r="B872" s="20" t="inlineStr">
        <is>
          <t>JOSE LUIS OLIVER</t>
        </is>
      </c>
      <c r="C872" s="14" t="inlineStr">
        <is>
          <t>Odontologia</t>
        </is>
      </c>
      <c r="D872" s="14" t="inlineStr">
        <is>
          <t>Odontologia</t>
        </is>
      </c>
      <c r="E872" s="19" t="n">
        <v>101</v>
      </c>
      <c r="F872" s="19" t="n">
        <v>7453</v>
      </c>
      <c r="G872" s="21" t="inlineStr">
        <is>
          <t>https://guiarsanrafael.com.ar/empresa/jose-luis-oliver/</t>
        </is>
      </c>
    </row>
    <row r="873">
      <c r="A873" s="22" t="n">
        <v>872</v>
      </c>
      <c r="B873" s="23" t="inlineStr">
        <is>
          <t>JOSE PREGAL</t>
        </is>
      </c>
      <c r="C873" s="12" t="inlineStr">
        <is>
          <t>Cirugia infantil cirujano cirujana</t>
        </is>
      </c>
      <c r="D873" s="12" t="inlineStr">
        <is>
          <t>Cirugia infantil</t>
        </is>
      </c>
      <c r="E873" s="22" t="n">
        <v>98</v>
      </c>
      <c r="F873" s="22" t="n">
        <v>5258</v>
      </c>
      <c r="G873" s="24" t="inlineStr">
        <is>
          <t>https://guiarsanrafael.com.ar/empresa/jose-pregal-2/</t>
        </is>
      </c>
    </row>
    <row r="874">
      <c r="A874" s="19" t="n">
        <v>873</v>
      </c>
      <c r="B874" s="20" t="inlineStr">
        <is>
          <t>Josep Veterinaria y Agroveterinaria</t>
        </is>
      </c>
      <c r="C874" s="14" t="inlineStr">
        <is>
          <t>Tienda para mascotas veterinaria</t>
        </is>
      </c>
      <c r="D874" s="14" t="inlineStr">
        <is>
          <t>Agroveterinarias</t>
        </is>
      </c>
      <c r="E874" s="19" t="n">
        <v>45</v>
      </c>
      <c r="F874" s="19" t="n">
        <v>9653</v>
      </c>
      <c r="G874" s="21" t="inlineStr">
        <is>
          <t>https://guiarsanrafael.com.ar/empresa/josep-veterinaria-y-agroveterinaria/</t>
        </is>
      </c>
    </row>
    <row r="875">
      <c r="A875" s="22" t="n">
        <v>874</v>
      </c>
      <c r="B875" s="23" t="inlineStr">
        <is>
          <t>José Federico Simone</t>
        </is>
      </c>
      <c r="C875" s="12" t="inlineStr">
        <is>
          <t>Ginecologia y obsterticia</t>
        </is>
      </c>
      <c r="D875" s="12" t="inlineStr">
        <is>
          <t>Ginecologia y obsterticia</t>
        </is>
      </c>
      <c r="E875" s="22" t="n">
        <v>154</v>
      </c>
      <c r="F875" s="22" t="n">
        <v>5344</v>
      </c>
      <c r="G875" s="24" t="inlineStr">
        <is>
          <t>https://guiarsanrafael.com.ar/empresa/jose-federico-simone/</t>
        </is>
      </c>
    </row>
    <row r="876">
      <c r="A876" s="19" t="n">
        <v>875</v>
      </c>
      <c r="B876" s="20" t="inlineStr">
        <is>
          <t>José Luis Ibáñez</t>
        </is>
      </c>
      <c r="C876" s="14" t="inlineStr">
        <is>
          <t>Medicina laboral</t>
        </is>
      </c>
      <c r="D876" s="14" t="inlineStr">
        <is>
          <t>Medicina laboral</t>
        </is>
      </c>
      <c r="E876" s="19" t="n">
        <v>151</v>
      </c>
      <c r="F876" s="19" t="n">
        <v>5407</v>
      </c>
      <c r="G876" s="21" t="inlineStr">
        <is>
          <t>https://guiarsanrafael.com.ar/empresa/jose-luis-ibanez/</t>
        </is>
      </c>
    </row>
    <row r="877">
      <c r="A877" s="22" t="n">
        <v>876</v>
      </c>
      <c r="B877" s="23" t="inlineStr">
        <is>
          <t>José Occhipinti</t>
        </is>
      </c>
      <c r="C877" s="12" t="inlineStr">
        <is>
          <t>Oncologia</t>
        </is>
      </c>
      <c r="D877" s="12" t="inlineStr">
        <is>
          <t>Oncologia</t>
        </is>
      </c>
      <c r="E877" s="22" t="n">
        <v>147</v>
      </c>
      <c r="F877" s="22" t="n">
        <v>5453</v>
      </c>
      <c r="G877" s="24" t="inlineStr">
        <is>
          <t>https://guiarsanrafael.com.ar/empresa/jose-occhipinti/</t>
        </is>
      </c>
    </row>
    <row r="878">
      <c r="A878" s="19" t="n">
        <v>877</v>
      </c>
      <c r="B878" s="20" t="inlineStr">
        <is>
          <t>JR ALARMAS</t>
        </is>
      </c>
      <c r="C878" s="14" t="inlineStr">
        <is>
          <t>Alarmas</t>
        </is>
      </c>
      <c r="D878" s="14" t="inlineStr">
        <is>
          <t>Alarmas</t>
        </is>
      </c>
      <c r="E878" s="19" t="n">
        <v>67</v>
      </c>
      <c r="F878" s="19" t="n">
        <v>8536</v>
      </c>
      <c r="G878" s="21" t="inlineStr">
        <is>
          <t>https://guiarsanrafael.com.ar/empresa/jr-alarmas/</t>
        </is>
      </c>
    </row>
    <row r="879">
      <c r="A879" s="22" t="n">
        <v>878</v>
      </c>
      <c r="B879" s="23" t="inlineStr">
        <is>
          <t>JS REPUESTOS</t>
        </is>
      </c>
      <c r="C879" s="12" t="inlineStr">
        <is>
          <t>Autopartes</t>
        </is>
      </c>
      <c r="D879" s="12" t="inlineStr">
        <is>
          <t>Autopartes</t>
        </is>
      </c>
      <c r="E879" s="22" t="n">
        <v>166</v>
      </c>
      <c r="F879" s="22" t="n">
        <v>4869</v>
      </c>
      <c r="G879" s="24" t="inlineStr">
        <is>
          <t>https://guiarsanrafael.com.ar/empresa/js-repuestos/</t>
        </is>
      </c>
    </row>
    <row r="880">
      <c r="A880" s="19" t="n">
        <v>879</v>
      </c>
      <c r="B880" s="20" t="inlineStr">
        <is>
          <t>JUAN CARLOS DE NEVREZÉ</t>
        </is>
      </c>
      <c r="C880" s="14" t="inlineStr">
        <is>
          <t>Contadores estudios contables</t>
        </is>
      </c>
      <c r="D880" s="14" t="inlineStr">
        <is>
          <t>Contadores</t>
        </is>
      </c>
      <c r="E880" s="19" t="n">
        <v>139</v>
      </c>
      <c r="F880" s="19" t="n">
        <v>5757</v>
      </c>
      <c r="G880" s="21" t="inlineStr">
        <is>
          <t>https://guiarsanrafael.com.ar/empresa/juan-carlos-de-nevreze/</t>
        </is>
      </c>
    </row>
    <row r="881">
      <c r="A881" s="22" t="n">
        <v>880</v>
      </c>
      <c r="B881" s="23" t="inlineStr">
        <is>
          <t>JUAN CRESPO</t>
        </is>
      </c>
      <c r="C881" s="12" t="inlineStr">
        <is>
          <t>Centro de rehabilitacion</t>
        </is>
      </c>
      <c r="D881" s="12" t="inlineStr">
        <is>
          <t>Centro de rehabilitacion</t>
        </is>
      </c>
      <c r="E881" s="22" t="n">
        <v>6</v>
      </c>
      <c r="F881" s="22" t="n">
        <v>14420</v>
      </c>
      <c r="G881" s="24" t="inlineStr">
        <is>
          <t>https://guiarsanrafael.com.ar/empresa/juan-crespo/</t>
        </is>
      </c>
    </row>
    <row r="882">
      <c r="A882" s="19" t="n">
        <v>881</v>
      </c>
      <c r="B882" s="20" t="inlineStr">
        <is>
          <t>Juan Cruz Orlando</t>
        </is>
      </c>
      <c r="C882" s="14" t="inlineStr">
        <is>
          <t>Odontologia</t>
        </is>
      </c>
      <c r="D882" s="14" t="inlineStr">
        <is>
          <t>Odontologia</t>
        </is>
      </c>
      <c r="E882" s="19" t="n">
        <v>100</v>
      </c>
      <c r="F882" s="19" t="n">
        <v>7455</v>
      </c>
      <c r="G882" s="21" t="inlineStr">
        <is>
          <t>https://guiarsanrafael.com.ar/empresa/juan-cruz-orlando/</t>
        </is>
      </c>
    </row>
    <row r="883">
      <c r="A883" s="22" t="n">
        <v>882</v>
      </c>
      <c r="B883" s="23" t="inlineStr">
        <is>
          <t>JUAN IGNACIO LUFI</t>
        </is>
      </c>
      <c r="C883" s="12" t="inlineStr">
        <is>
          <t>Veterinarios</t>
        </is>
      </c>
      <c r="D883" s="12" t="inlineStr">
        <is>
          <t>Veterinarios</t>
        </is>
      </c>
      <c r="E883" s="22" t="n">
        <v>139</v>
      </c>
      <c r="F883" s="22" t="n">
        <v>5736</v>
      </c>
      <c r="G883" s="24" t="inlineStr">
        <is>
          <t>https://guiarsanrafael.com.ar/empresa/juan-ignacio-lufi/</t>
        </is>
      </c>
    </row>
    <row r="884">
      <c r="A884" s="19" t="n">
        <v>883</v>
      </c>
      <c r="B884" s="20" t="inlineStr">
        <is>
          <t>JUAN IGNACIO TUDURI  Medico Veterinario</t>
        </is>
      </c>
      <c r="C884" s="14" t="inlineStr">
        <is>
          <t>Veterinarias veterinarios</t>
        </is>
      </c>
      <c r="D884" s="14" t="inlineStr">
        <is>
          <t>Veterinarias</t>
        </is>
      </c>
      <c r="E884" s="19" t="n">
        <v>5</v>
      </c>
      <c r="F884" s="19" t="n">
        <v>14479</v>
      </c>
      <c r="G884" s="21" t="inlineStr">
        <is>
          <t>https://guiarsanrafael.com.ar/empresa/juan-ignacio-tuduri-medico-veterinario/</t>
        </is>
      </c>
    </row>
    <row r="885">
      <c r="A885" s="22" t="n">
        <v>884</v>
      </c>
      <c r="B885" s="23" t="inlineStr">
        <is>
          <t>JUAN MANUEL MARTINEZ</t>
        </is>
      </c>
      <c r="C885" s="12" t="inlineStr">
        <is>
          <t>Kinesiologia y fisioterapia</t>
        </is>
      </c>
      <c r="D885" s="12" t="inlineStr">
        <is>
          <t>Kinesiologia y fisioterapia</t>
        </is>
      </c>
      <c r="E885" s="22" t="n">
        <v>24</v>
      </c>
      <c r="F885" s="22" t="n">
        <v>11744</v>
      </c>
      <c r="G885" s="24" t="inlineStr">
        <is>
          <t>https://guiarsanrafael.com.ar/empresa/juan-manuel-martinez/</t>
        </is>
      </c>
    </row>
    <row r="886">
      <c r="A886" s="19" t="n">
        <v>885</v>
      </c>
      <c r="B886" s="20" t="inlineStr">
        <is>
          <t>Juan Martin March</t>
        </is>
      </c>
      <c r="C886" s="14" t="inlineStr">
        <is>
          <t>Cirujanos cirugia</t>
        </is>
      </c>
      <c r="D886" s="14" t="inlineStr">
        <is>
          <t>Cirujanos</t>
        </is>
      </c>
      <c r="E886" s="19" t="n">
        <v>157</v>
      </c>
      <c r="F886" s="19" t="n">
        <v>5302</v>
      </c>
      <c r="G886" s="21" t="inlineStr">
        <is>
          <t>https://guiarsanrafael.com.ar/empresa/juan-martin-march-2/</t>
        </is>
      </c>
    </row>
    <row r="887">
      <c r="A887" s="22" t="n">
        <v>886</v>
      </c>
      <c r="B887" s="23" t="inlineStr">
        <is>
          <t>JUAN MARTIN MARCH</t>
        </is>
      </c>
      <c r="C887" s="12" t="inlineStr">
        <is>
          <t>Cirujia cirujano</t>
        </is>
      </c>
      <c r="D887" s="12" t="inlineStr">
        <is>
          <t>Cirugia general</t>
        </is>
      </c>
      <c r="E887" s="22" t="n">
        <v>163</v>
      </c>
      <c r="F887" s="22" t="n">
        <v>5062</v>
      </c>
      <c r="G887" s="24" t="inlineStr">
        <is>
          <t>https://guiarsanrafael.com.ar/empresa/juan-martin-march/</t>
        </is>
      </c>
    </row>
    <row r="888">
      <c r="A888" s="19" t="n">
        <v>887</v>
      </c>
      <c r="B888" s="20" t="inlineStr">
        <is>
          <t>JUAN PABLO CATTAI</t>
        </is>
      </c>
      <c r="C888" s="14" t="inlineStr">
        <is>
          <t>Odontologia</t>
        </is>
      </c>
      <c r="D888" s="14" t="inlineStr">
        <is>
          <t>Odontologia</t>
        </is>
      </c>
      <c r="E888" s="19" t="n">
        <v>104</v>
      </c>
      <c r="F888" s="19" t="n">
        <v>7373</v>
      </c>
      <c r="G888" s="21" t="inlineStr">
        <is>
          <t>https://guiarsanrafael.com.ar/empresa/juan-pablo-cattai/</t>
        </is>
      </c>
    </row>
    <row r="889">
      <c r="A889" s="22" t="n">
        <v>888</v>
      </c>
      <c r="B889" s="23" t="inlineStr">
        <is>
          <t>Juan Peralta Lorca</t>
        </is>
      </c>
      <c r="C889" s="12" t="inlineStr">
        <is>
          <t>Cirugia oncologica</t>
        </is>
      </c>
      <c r="D889" s="12" t="inlineStr">
        <is>
          <t>Cirugia ontologica</t>
        </is>
      </c>
      <c r="E889" s="22" t="n">
        <v>155</v>
      </c>
      <c r="F889" s="22" t="n">
        <v>5341</v>
      </c>
      <c r="G889" s="24" t="inlineStr">
        <is>
          <t>https://guiarsanrafael.com.ar/empresa/juan-peralta-lorca/</t>
        </is>
      </c>
    </row>
    <row r="890">
      <c r="A890" s="19" t="n">
        <v>889</v>
      </c>
      <c r="B890" s="20" t="inlineStr">
        <is>
          <t>JUGUETERIA DON CARMELO</t>
        </is>
      </c>
      <c r="C890" s="14" t="inlineStr">
        <is>
          <t>Jugueterias regaleria</t>
        </is>
      </c>
      <c r="D890" s="14" t="inlineStr">
        <is>
          <t>Jugueteria</t>
        </is>
      </c>
      <c r="E890" s="19" t="n">
        <v>15</v>
      </c>
      <c r="F890" s="19" t="n">
        <v>12752</v>
      </c>
      <c r="G890" s="21" t="inlineStr">
        <is>
          <t>https://guiarsanrafael.com.ar/empresa/jugueteria-don-carmelo/</t>
        </is>
      </c>
    </row>
    <row r="891">
      <c r="A891" s="22" t="n">
        <v>890</v>
      </c>
      <c r="B891" s="23" t="inlineStr">
        <is>
          <t>JULIANA MENDOZA CANELA</t>
        </is>
      </c>
      <c r="C891" s="12" t="inlineStr">
        <is>
          <t>Psicologia</t>
        </is>
      </c>
      <c r="D891" s="12" t="inlineStr">
        <is>
          <t>Psicologia</t>
        </is>
      </c>
      <c r="E891" s="22" t="n">
        <v>144</v>
      </c>
      <c r="F891" s="22" t="n">
        <v>5507</v>
      </c>
      <c r="G891" s="24" t="inlineStr">
        <is>
          <t>https://guiarsanrafael.com.ar/empresa/juliana-mendoza-canela/</t>
        </is>
      </c>
    </row>
    <row r="892">
      <c r="A892" s="19" t="n">
        <v>891</v>
      </c>
      <c r="B892" s="20" t="inlineStr">
        <is>
          <t>JULIANA TORTOSA</t>
        </is>
      </c>
      <c r="C892" s="14" t="inlineStr">
        <is>
          <t>Endodoncia</t>
        </is>
      </c>
      <c r="D892" s="14" t="inlineStr">
        <is>
          <t>Odontologia</t>
        </is>
      </c>
      <c r="E892" s="19" t="n">
        <v>123</v>
      </c>
      <c r="F892" s="19" t="n">
        <v>6868</v>
      </c>
      <c r="G892" s="21" t="inlineStr">
        <is>
          <t>https://guiarsanrafael.com.ar/empresa/juliana-tortosa/</t>
        </is>
      </c>
    </row>
    <row r="893">
      <c r="A893" s="22" t="n">
        <v>892</v>
      </c>
      <c r="B893" s="23" t="inlineStr">
        <is>
          <t>Julieta Boschin</t>
        </is>
      </c>
      <c r="C893" s="12" t="inlineStr">
        <is>
          <t>Psicologia</t>
        </is>
      </c>
      <c r="D893" s="12" t="inlineStr">
        <is>
          <t>Psicologia</t>
        </is>
      </c>
      <c r="E893" s="22" t="n">
        <v>145</v>
      </c>
      <c r="F893" s="22" t="n">
        <v>5489</v>
      </c>
      <c r="G893" s="24" t="inlineStr">
        <is>
          <t>https://guiarsanrafael.com.ar/empresa/julieta-boschin/</t>
        </is>
      </c>
    </row>
    <row r="894">
      <c r="A894" s="19" t="n">
        <v>893</v>
      </c>
      <c r="B894" s="20" t="inlineStr">
        <is>
          <t>Julieta Delpozzi</t>
        </is>
      </c>
      <c r="C894" s="14" t="inlineStr">
        <is>
          <t>Psicologia</t>
        </is>
      </c>
      <c r="D894" s="14" t="inlineStr">
        <is>
          <t>Psicologia</t>
        </is>
      </c>
      <c r="E894" s="19" t="n">
        <v>145</v>
      </c>
      <c r="F894" s="19" t="n">
        <v>5502</v>
      </c>
      <c r="G894" s="21" t="inlineStr">
        <is>
          <t>https://guiarsanrafael.com.ar/empresa/julieta-delpozzi/</t>
        </is>
      </c>
    </row>
    <row r="895">
      <c r="A895" s="22" t="n">
        <v>894</v>
      </c>
      <c r="B895" s="23" t="inlineStr">
        <is>
          <t>JULIETA ESTEVAN GILI</t>
        </is>
      </c>
      <c r="C895" s="12" t="inlineStr">
        <is>
          <t>Clinica medica</t>
        </is>
      </c>
      <c r="D895" s="12" t="inlineStr">
        <is>
          <t>Clinica medica</t>
        </is>
      </c>
      <c r="E895" s="22" t="n">
        <v>125</v>
      </c>
      <c r="F895" s="22" t="n">
        <v>6654</v>
      </c>
      <c r="G895" s="24" t="inlineStr">
        <is>
          <t>https://guiarsanrafael.com.ar/empresa/julieta-estevan-gili/</t>
        </is>
      </c>
    </row>
    <row r="896">
      <c r="A896" s="19" t="n">
        <v>895</v>
      </c>
      <c r="B896" s="20" t="inlineStr">
        <is>
          <t>Julieta Ávila</t>
        </is>
      </c>
      <c r="C896" s="14" t="inlineStr">
        <is>
          <t>Kinesiologia y fisioterapia</t>
        </is>
      </c>
      <c r="D896" s="14" t="inlineStr">
        <is>
          <t>Kinesiologia y fisioterapia</t>
        </is>
      </c>
      <c r="E896" s="19" t="n">
        <v>154</v>
      </c>
      <c r="F896" s="19" t="n">
        <v>5374</v>
      </c>
      <c r="G896" s="21" t="inlineStr">
        <is>
          <t>https://guiarsanrafael.com.ar/empresa/julieta-avila/</t>
        </is>
      </c>
    </row>
    <row r="897">
      <c r="A897" s="22" t="n">
        <v>896</v>
      </c>
      <c r="B897" s="23" t="inlineStr">
        <is>
          <t>JULIO VARELA</t>
        </is>
      </c>
      <c r="C897" s="12" t="inlineStr">
        <is>
          <t>Diagnostico por imagenes ecografia mamografias</t>
        </is>
      </c>
      <c r="D897" s="12" t="inlineStr">
        <is>
          <t>Diagnostico por imagenes</t>
        </is>
      </c>
      <c r="E897" s="22" t="n">
        <v>158</v>
      </c>
      <c r="F897" s="22" t="n">
        <v>5298</v>
      </c>
      <c r="G897" s="24" t="inlineStr">
        <is>
          <t>https://guiarsanrafael.com.ar/empresa/julio-varela/</t>
        </is>
      </c>
    </row>
    <row r="898">
      <c r="A898" s="19" t="n">
        <v>897</v>
      </c>
      <c r="B898" s="20" t="inlineStr">
        <is>
          <t>Julián Ruiz y Cia s.r.l.</t>
        </is>
      </c>
      <c r="C898" s="14" t="inlineStr">
        <is>
          <t>Repuestos del automotor autopartes</t>
        </is>
      </c>
      <c r="D898" s="14" t="inlineStr">
        <is>
          <t>Repuestos del automotor</t>
        </is>
      </c>
      <c r="E898" s="19" t="n">
        <v>76</v>
      </c>
      <c r="F898" s="19" t="n">
        <v>8398</v>
      </c>
      <c r="G898" s="21" t="inlineStr">
        <is>
          <t>https://guiarsanrafael.com.ar/empresa/julian-ruiz-y-cia-s-r-l/</t>
        </is>
      </c>
    </row>
    <row r="899">
      <c r="A899" s="22" t="n">
        <v>898</v>
      </c>
      <c r="B899" s="23" t="inlineStr">
        <is>
          <t>Juri Isaac Alfredo</t>
        </is>
      </c>
      <c r="C899" s="12" t="inlineStr">
        <is>
          <t>Abogados abogadas estudios juridicos</t>
        </is>
      </c>
      <c r="D899" s="12" t="inlineStr">
        <is>
          <t>Abogados</t>
        </is>
      </c>
      <c r="E899" s="22" t="n">
        <v>118</v>
      </c>
      <c r="F899" s="22" t="n">
        <v>7130</v>
      </c>
      <c r="G899" s="24" t="inlineStr">
        <is>
          <t>https://guiarsanrafael.com.ar/empresa/juri-isaac-alfredo/</t>
        </is>
      </c>
    </row>
    <row r="900">
      <c r="A900" s="19" t="n">
        <v>899</v>
      </c>
      <c r="B900" s="20" t="inlineStr">
        <is>
          <t>JURI Stella Maris</t>
        </is>
      </c>
      <c r="C900" s="14" t="inlineStr">
        <is>
          <t>Escribanias escribanos escribanas mandatario mandataria notarios notarias</t>
        </is>
      </c>
      <c r="D900" s="14" t="inlineStr">
        <is>
          <t>Escribanas</t>
        </is>
      </c>
      <c r="E900" s="19" t="n">
        <v>84</v>
      </c>
      <c r="F900" s="19" t="n">
        <v>8174</v>
      </c>
      <c r="G900" s="21" t="inlineStr">
        <is>
          <t>https://guiarsanrafael.com.ar/empresa/juri-stella-maris/</t>
        </is>
      </c>
    </row>
    <row r="901">
      <c r="A901" s="22" t="n">
        <v>900</v>
      </c>
      <c r="B901" s="23" t="inlineStr">
        <is>
          <t>JV Baterías</t>
        </is>
      </c>
      <c r="C901" s="12" t="inlineStr">
        <is>
          <t>Baterias</t>
        </is>
      </c>
      <c r="D901" s="12" t="inlineStr">
        <is>
          <t>Baterias</t>
        </is>
      </c>
      <c r="E901" s="22" t="n">
        <v>55</v>
      </c>
      <c r="F901" s="22" t="n">
        <v>9216</v>
      </c>
      <c r="G901" s="24" t="inlineStr">
        <is>
          <t>https://guiarsanrafael.com.ar/empresa/jv-baterias/</t>
        </is>
      </c>
    </row>
    <row r="902">
      <c r="A902" s="19" t="n">
        <v>901</v>
      </c>
      <c r="B902" s="20" t="inlineStr">
        <is>
          <t>JV Soluciones Constructivas</t>
        </is>
      </c>
      <c r="C902" s="14" t="inlineStr">
        <is>
          <t>Construccion en seco constructoras</t>
        </is>
      </c>
      <c r="D902" s="14" t="inlineStr">
        <is>
          <t>Construccion en seco</t>
        </is>
      </c>
      <c r="E902" s="19" t="n">
        <v>18</v>
      </c>
      <c r="F902" s="19" t="n">
        <v>12493</v>
      </c>
      <c r="G902" s="21" t="inlineStr">
        <is>
          <t>https://guiarsanrafael.com.ar/empresa/jv-soluciones-constructivas/</t>
        </is>
      </c>
    </row>
    <row r="903">
      <c r="A903" s="22" t="n">
        <v>902</v>
      </c>
      <c r="B903" s="23" t="inlineStr">
        <is>
          <t>Jésica Pravata</t>
        </is>
      </c>
      <c r="C903" s="12" t="inlineStr">
        <is>
          <t>Kinesiologia y fisioterapia</t>
        </is>
      </c>
      <c r="D903" s="12" t="inlineStr">
        <is>
          <t>Kinesiologia y fisioterapia</t>
        </is>
      </c>
      <c r="E903" s="22" t="n">
        <v>152</v>
      </c>
      <c r="F903" s="22" t="n">
        <v>5396</v>
      </c>
      <c r="G903" s="24" t="inlineStr">
        <is>
          <t>https://guiarsanrafael.com.ar/empresa/jesica-pravata/</t>
        </is>
      </c>
    </row>
    <row r="904">
      <c r="A904" s="19" t="n">
        <v>903</v>
      </c>
      <c r="B904" s="20" t="inlineStr">
        <is>
          <t>KAIZEN Deco &amp; Santería</t>
        </is>
      </c>
      <c r="C904" s="14" t="inlineStr">
        <is>
          <t>Tienda holistica</t>
        </is>
      </c>
      <c r="D904" s="14" t="inlineStr">
        <is>
          <t>Tienda holistica</t>
        </is>
      </c>
      <c r="E904" s="19" t="n">
        <v>172</v>
      </c>
      <c r="F904" s="19" t="n">
        <v>4246</v>
      </c>
      <c r="G904" s="21" t="inlineStr">
        <is>
          <t>https://guiarsanrafael.com.ar/empresa/kaizen-deco-santeria/</t>
        </is>
      </c>
    </row>
    <row r="905">
      <c r="A905" s="22" t="n">
        <v>904</v>
      </c>
      <c r="B905" s="23" t="inlineStr">
        <is>
          <t>Karina Herrera</t>
        </is>
      </c>
      <c r="C905" s="12" t="inlineStr">
        <is>
          <t>Ginecologia y obsterticia</t>
        </is>
      </c>
      <c r="D905" s="12" t="inlineStr">
        <is>
          <t>Ginecologia y obsterticia</t>
        </is>
      </c>
      <c r="E905" s="22" t="n">
        <v>155</v>
      </c>
      <c r="F905" s="22" t="n">
        <v>5339</v>
      </c>
      <c r="G905" s="24" t="inlineStr">
        <is>
          <t>https://guiarsanrafael.com.ar/empresa/karina-herrera/</t>
        </is>
      </c>
    </row>
    <row r="906">
      <c r="A906" s="19" t="n">
        <v>905</v>
      </c>
      <c r="B906" s="20" t="inlineStr">
        <is>
          <t>Karina Rocio Oblitas Rodriguez</t>
        </is>
      </c>
      <c r="C906" s="14" t="inlineStr">
        <is>
          <t>Endocrinologia</t>
        </is>
      </c>
      <c r="D906" s="14" t="inlineStr">
        <is>
          <t>Endocrinologia</t>
        </is>
      </c>
      <c r="E906" s="19" t="n">
        <v>158</v>
      </c>
      <c r="F906" s="19" t="n">
        <v>5300</v>
      </c>
      <c r="G906" s="21" t="inlineStr">
        <is>
          <t>https://guiarsanrafael.com.ar/empresa/karina-rocio-oblitas-rodriguez/</t>
        </is>
      </c>
    </row>
    <row r="907">
      <c r="A907" s="22" t="n">
        <v>906</v>
      </c>
      <c r="B907" s="23" t="inlineStr">
        <is>
          <t>Ketobac</t>
        </is>
      </c>
      <c r="C907" s="12" t="inlineStr">
        <is>
          <t>Artesanias</t>
        </is>
      </c>
      <c r="D907" s="12" t="inlineStr">
        <is>
          <t>Artesanias</t>
        </is>
      </c>
      <c r="E907" s="22" t="n">
        <v>181</v>
      </c>
      <c r="F907" s="22" t="n">
        <v>9273</v>
      </c>
      <c r="G907" s="24" t="inlineStr">
        <is>
          <t>https://guiarsanrafael.com.ar/empresa/9273/</t>
        </is>
      </c>
    </row>
    <row r="908">
      <c r="A908" s="19" t="n">
        <v>907</v>
      </c>
      <c r="B908" s="20" t="inlineStr">
        <is>
          <t>Ketobac</t>
        </is>
      </c>
      <c r="C908" s="14" t="inlineStr">
        <is>
          <t>Chocolateria</t>
        </is>
      </c>
      <c r="D908" s="14" t="inlineStr">
        <is>
          <t>Artesanias</t>
        </is>
      </c>
      <c r="E908" s="19" t="n">
        <v>181</v>
      </c>
      <c r="F908" s="19" t="n">
        <v>9274</v>
      </c>
      <c r="G908" s="21" t="inlineStr">
        <is>
          <t>https://guiarsanrafael.com.ar/empresa/ketobac/</t>
        </is>
      </c>
    </row>
    <row r="909">
      <c r="A909" s="22" t="n">
        <v>908</v>
      </c>
      <c r="B909" s="23" t="inlineStr">
        <is>
          <t>Kevin Barchiesi</t>
        </is>
      </c>
      <c r="C909" s="12" t="inlineStr">
        <is>
          <t>Psicologia</t>
        </is>
      </c>
      <c r="D909" s="12" t="inlineStr">
        <is>
          <t>Psicologia</t>
        </is>
      </c>
      <c r="E909" s="22" t="n">
        <v>145</v>
      </c>
      <c r="F909" s="22" t="n">
        <v>5487</v>
      </c>
      <c r="G909" s="24" t="inlineStr">
        <is>
          <t>https://guiarsanrafael.com.ar/empresa/kevin-barchiesi/</t>
        </is>
      </c>
    </row>
    <row r="910">
      <c r="A910" s="19" t="n">
        <v>909</v>
      </c>
      <c r="B910" s="20" t="inlineStr">
        <is>
          <t>KINÉ Rehabilitación San Rafael ••</t>
        </is>
      </c>
      <c r="C910" s="14" t="inlineStr">
        <is>
          <t>Centro de rehabilitacion</t>
        </is>
      </c>
      <c r="D910" s="14" t="inlineStr">
        <is>
          <t>Centro de rehabilitacion</t>
        </is>
      </c>
      <c r="E910" s="19" t="n">
        <v>21</v>
      </c>
      <c r="F910" s="19" t="n">
        <v>12074</v>
      </c>
      <c r="G910" s="21" t="inlineStr">
        <is>
          <t>https://guiarsanrafael.com.ar/empresa/kine-rehabilitacion-san-rafael/</t>
        </is>
      </c>
    </row>
    <row r="911">
      <c r="A911" s="22" t="n">
        <v>910</v>
      </c>
      <c r="B911" s="23" t="inlineStr">
        <is>
          <t>KUDHAI DETAILING</t>
        </is>
      </c>
      <c r="C911" s="12" t="inlineStr">
        <is>
          <t>Detailing estetica vehicular</t>
        </is>
      </c>
      <c r="D911" s="12" t="inlineStr">
        <is>
          <t>Detailing estetica vehicular</t>
        </is>
      </c>
      <c r="E911" s="22" t="n">
        <v>24</v>
      </c>
      <c r="F911" s="22" t="n">
        <v>11822</v>
      </c>
      <c r="G911" s="24" t="inlineStr">
        <is>
          <t>https://guiarsanrafael.com.ar/empresa/kudhai-detailing/</t>
        </is>
      </c>
    </row>
    <row r="912">
      <c r="A912" s="19" t="n">
        <v>911</v>
      </c>
      <c r="B912" s="20" t="inlineStr">
        <is>
          <t>KV GIMNASIO</t>
        </is>
      </c>
      <c r="C912" s="14" t="inlineStr">
        <is>
          <t>Gimnasios gym</t>
        </is>
      </c>
      <c r="D912" s="14" t="inlineStr">
        <is>
          <t>Gimnasios</t>
        </is>
      </c>
      <c r="E912" s="19" t="n">
        <v>16</v>
      </c>
      <c r="F912" s="19" t="n">
        <v>12652</v>
      </c>
      <c r="G912" s="21" t="inlineStr">
        <is>
          <t>https://guiarsanrafael.com.ar/empresa/kv-gimnasio/</t>
        </is>
      </c>
    </row>
    <row r="913">
      <c r="A913" s="22" t="n">
        <v>912</v>
      </c>
      <c r="B913" s="23" t="inlineStr">
        <is>
          <t>LA ABEJA Finca &amp; Bodega</t>
        </is>
      </c>
      <c r="C913" s="12" t="inlineStr">
        <is>
          <t>Bodegas vinedos fincas</t>
        </is>
      </c>
      <c r="D913" s="12" t="inlineStr">
        <is>
          <t>Bodegas y vinedos</t>
        </is>
      </c>
      <c r="E913" s="22" t="n">
        <v>46</v>
      </c>
      <c r="F913" s="22" t="n">
        <v>9425</v>
      </c>
      <c r="G913" s="24" t="inlineStr">
        <is>
          <t>https://guiarsanrafael.com.ar/empresa/la-abeja-finca-bodega/</t>
        </is>
      </c>
    </row>
    <row r="914">
      <c r="A914" s="19" t="n">
        <v>913</v>
      </c>
      <c r="B914" s="20" t="inlineStr">
        <is>
          <t>La Andaluza</t>
        </is>
      </c>
      <c r="C914" s="14" t="inlineStr">
        <is>
          <t>Fabrica de pastas</t>
        </is>
      </c>
      <c r="D914" s="14" t="inlineStr">
        <is>
          <t>Fabrica de pastas</t>
        </is>
      </c>
      <c r="E914" s="19" t="n">
        <v>63</v>
      </c>
      <c r="F914" s="19" t="n">
        <v>8675</v>
      </c>
      <c r="G914" s="21" t="inlineStr">
        <is>
          <t>https://guiarsanrafael.com.ar/empresa/la-andaluza/</t>
        </is>
      </c>
    </row>
    <row r="915">
      <c r="A915" s="22" t="n">
        <v>914</v>
      </c>
      <c r="B915" s="23" t="inlineStr">
        <is>
          <t>LA BARRICA Vinoteca</t>
        </is>
      </c>
      <c r="C915" s="12" t="inlineStr">
        <is>
          <t>Tinenda de bebidas vinotecas licores</t>
        </is>
      </c>
      <c r="D915" s="12" t="inlineStr">
        <is>
          <t>Tienda de bebidas</t>
        </is>
      </c>
      <c r="E915" s="22" t="n">
        <v>51</v>
      </c>
      <c r="F915" s="22" t="n">
        <v>9312</v>
      </c>
      <c r="G915" s="24" t="inlineStr">
        <is>
          <t>https://guiarsanrafael.com.ar/empresa/la-barrica-vinoteca/</t>
        </is>
      </c>
    </row>
    <row r="916">
      <c r="A916" s="19" t="n">
        <v>915</v>
      </c>
      <c r="B916" s="20" t="inlineStr">
        <is>
          <t>LA BODEGA Parrilla Resto Bar</t>
        </is>
      </c>
      <c r="C916" s="14" t="inlineStr">
        <is>
          <t>Bodegas vinedos fincas</t>
        </is>
      </c>
      <c r="D916" s="14" t="inlineStr">
        <is>
          <t>Bodegas y vinedos</t>
        </is>
      </c>
      <c r="E916" s="19" t="n">
        <v>46</v>
      </c>
      <c r="F916" s="19" t="n">
        <v>9446</v>
      </c>
      <c r="G916" s="21" t="inlineStr">
        <is>
          <t>https://guiarsanrafael.com.ar/empresa/la-bodega-parrilla-resto-bar/</t>
        </is>
      </c>
    </row>
    <row r="917">
      <c r="A917" s="22" t="n">
        <v>916</v>
      </c>
      <c r="B917" s="23" t="inlineStr">
        <is>
          <t>LA BOHEMIA Artística</t>
        </is>
      </c>
      <c r="C917" s="12" t="inlineStr">
        <is>
          <t>Artesanias</t>
        </is>
      </c>
      <c r="D917" s="12" t="inlineStr">
        <is>
          <t>Artesanias</t>
        </is>
      </c>
      <c r="E917" s="22" t="n">
        <v>137</v>
      </c>
      <c r="F917" s="22" t="n">
        <v>5856</v>
      </c>
      <c r="G917" s="24" t="inlineStr">
        <is>
          <t>https://guiarsanrafael.com.ar/empresa/la-bohemia-artistica/</t>
        </is>
      </c>
    </row>
    <row r="918">
      <c r="A918" s="19" t="n">
        <v>917</v>
      </c>
      <c r="B918" s="20" t="inlineStr">
        <is>
          <t>LA BUENOS AIRES Pizza</t>
        </is>
      </c>
      <c r="C918" s="14" t="inlineStr">
        <is>
          <t>Casa de comidas rotiseria viandas</t>
        </is>
      </c>
      <c r="D918" s="14" t="inlineStr">
        <is>
          <t>Casa de comidas</t>
        </is>
      </c>
      <c r="E918" s="19" t="n">
        <v>96</v>
      </c>
      <c r="F918" s="19" t="n">
        <v>7624</v>
      </c>
      <c r="G918" s="21" t="inlineStr">
        <is>
          <t>https://guiarsanrafael.com.ar/empresa/la-buenos-aires-pizza/</t>
        </is>
      </c>
    </row>
    <row r="919">
      <c r="A919" s="22" t="n">
        <v>918</v>
      </c>
      <c r="B919" s="23" t="inlineStr">
        <is>
          <t>LA CASA DE LAS BATERIAS</t>
        </is>
      </c>
      <c r="C919" s="12" t="inlineStr">
        <is>
          <t>Baterias</t>
        </is>
      </c>
      <c r="D919" s="12" t="inlineStr">
        <is>
          <t>Baterias</t>
        </is>
      </c>
      <c r="E919" s="22" t="n">
        <v>56</v>
      </c>
      <c r="F919" s="22" t="n">
        <v>9211</v>
      </c>
      <c r="G919" s="24" t="inlineStr">
        <is>
          <t>https://guiarsanrafael.com.ar/empresa/la-casa-de-las-baterias/</t>
        </is>
      </c>
    </row>
    <row r="920">
      <c r="A920" s="19" t="n">
        <v>919</v>
      </c>
      <c r="B920" s="20" t="inlineStr">
        <is>
          <t>LA CASA DEL CARPINTERO Egger Haus</t>
        </is>
      </c>
      <c r="C920" s="14" t="inlineStr">
        <is>
          <t>Amoblamientos</t>
        </is>
      </c>
      <c r="D920" s="14" t="inlineStr">
        <is>
          <t>Amoblamientos</t>
        </is>
      </c>
      <c r="E920" s="19" t="n">
        <v>162</v>
      </c>
      <c r="F920" s="19" t="n">
        <v>5203</v>
      </c>
      <c r="G920" s="21" t="inlineStr">
        <is>
          <t>https://guiarsanrafael.com.ar/empresa/la-casa-del-carpintero-egger-haus/</t>
        </is>
      </c>
    </row>
    <row r="921">
      <c r="A921" s="22" t="n">
        <v>920</v>
      </c>
      <c r="B921" s="23" t="inlineStr">
        <is>
          <t>La Casa del Matafuego</t>
        </is>
      </c>
      <c r="C921" s="12" t="inlineStr">
        <is>
          <t>Matafuegos</t>
        </is>
      </c>
      <c r="D921" s="12" t="inlineStr">
        <is>
          <t>Matafuegos</t>
        </is>
      </c>
      <c r="E921" s="22" t="n">
        <v>141</v>
      </c>
      <c r="F921" s="22" t="n">
        <v>5571</v>
      </c>
      <c r="G921" s="24" t="inlineStr">
        <is>
          <t>https://guiarsanrafael.com.ar/empresa/la-casa-del-matafuego/</t>
        </is>
      </c>
    </row>
    <row r="922">
      <c r="A922" s="19" t="n">
        <v>921</v>
      </c>
      <c r="B922" s="20" t="inlineStr">
        <is>
          <t>LA CASA del NEUMATICO</t>
        </is>
      </c>
      <c r="C922" s="14" t="inlineStr">
        <is>
          <t>Autopartes</t>
        </is>
      </c>
      <c r="D922" s="14" t="inlineStr">
        <is>
          <t>Autopartes</t>
        </is>
      </c>
      <c r="E922" s="19" t="n">
        <v>74</v>
      </c>
      <c r="F922" s="19" t="n">
        <v>8417</v>
      </c>
      <c r="G922" s="21" t="inlineStr">
        <is>
          <t>https://guiarsanrafael.com.ar/empresa/la-casa-del-neumatico/</t>
        </is>
      </c>
    </row>
    <row r="923">
      <c r="A923" s="22" t="n">
        <v>922</v>
      </c>
      <c r="B923" s="23" t="inlineStr">
        <is>
          <t>LA COCINA de OLGA</t>
        </is>
      </c>
      <c r="C923" s="12" t="inlineStr">
        <is>
          <t>Casa de comidas rotiseria viandas</t>
        </is>
      </c>
      <c r="D923" s="12" t="inlineStr">
        <is>
          <t>Casa de comidas</t>
        </is>
      </c>
      <c r="E923" s="22" t="n">
        <v>11</v>
      </c>
      <c r="F923" s="22" t="n">
        <v>13410</v>
      </c>
      <c r="G923" s="24" t="inlineStr">
        <is>
          <t>https://guiarsanrafael.com.ar/empresa/la-cocina-de-olga/</t>
        </is>
      </c>
    </row>
    <row r="924">
      <c r="A924" s="19" t="n">
        <v>923</v>
      </c>
      <c r="B924" s="20" t="inlineStr">
        <is>
          <t>LA CORTINERIA Toldos y Cortinados</t>
        </is>
      </c>
      <c r="C924" s="14" t="inlineStr">
        <is>
          <t>Cortinados</t>
        </is>
      </c>
      <c r="D924" s="14" t="inlineStr">
        <is>
          <t>Cortinados</t>
        </is>
      </c>
      <c r="E924" s="19" t="n">
        <v>3</v>
      </c>
      <c r="F924" s="19" t="n">
        <v>14804</v>
      </c>
      <c r="G924" s="21" t="inlineStr">
        <is>
          <t>https://guiarsanrafael.com.ar/empresa/la-cortinaria-toldos-y-cortinados/</t>
        </is>
      </c>
    </row>
    <row r="925">
      <c r="A925" s="22" t="n">
        <v>924</v>
      </c>
      <c r="B925" s="23" t="inlineStr">
        <is>
          <t>La Delicia Del Boulevard</t>
        </is>
      </c>
      <c r="C925" s="12" t="inlineStr">
        <is>
          <t>Casa de te</t>
        </is>
      </c>
      <c r="D925" s="12" t="inlineStr">
        <is>
          <t>Confiteria</t>
        </is>
      </c>
      <c r="E925" s="22" t="n">
        <v>63</v>
      </c>
      <c r="F925" s="22" t="n">
        <v>8673</v>
      </c>
      <c r="G925" s="24" t="inlineStr">
        <is>
          <t>https://guiarsanrafael.com.ar/empresa/la-delicia-del-boulevard/</t>
        </is>
      </c>
    </row>
    <row r="926">
      <c r="A926" s="19" t="n">
        <v>925</v>
      </c>
      <c r="B926" s="20" t="inlineStr">
        <is>
          <t>LA ESPERANZA  Contenedores</t>
        </is>
      </c>
      <c r="C926" s="14" t="inlineStr">
        <is>
          <t>Aridos canteras</t>
        </is>
      </c>
      <c r="D926" s="14" t="inlineStr">
        <is>
          <t>Contenedores</t>
        </is>
      </c>
      <c r="E926" s="19" t="n">
        <v>134</v>
      </c>
      <c r="F926" s="19" t="n">
        <v>6079</v>
      </c>
      <c r="G926" s="21" t="inlineStr">
        <is>
          <t>https://guiarsanrafael.com.ar/empresa/la-esperanza-contenedores/</t>
        </is>
      </c>
    </row>
    <row r="927">
      <c r="A927" s="22" t="n">
        <v>926</v>
      </c>
      <c r="B927" s="23" t="inlineStr">
        <is>
          <t>LA ESPERANZA DEL VALLE Cabañas</t>
        </is>
      </c>
      <c r="C927" s="12" t="inlineStr">
        <is>
          <t>Alojamiento cabanas camping</t>
        </is>
      </c>
      <c r="D927" s="12" t="inlineStr">
        <is>
          <t>Alojamientos</t>
        </is>
      </c>
      <c r="E927" s="22" t="n">
        <v>134</v>
      </c>
      <c r="F927" s="22" t="n">
        <v>6066</v>
      </c>
      <c r="G927" s="24" t="inlineStr">
        <is>
          <t>https://guiarsanrafael.com.ar/empresa/la-esperanza-del-valle-cabanas/</t>
        </is>
      </c>
    </row>
    <row r="928">
      <c r="A928" s="19" t="n">
        <v>927</v>
      </c>
      <c r="B928" s="20" t="inlineStr">
        <is>
          <t>LA ESQUINA Rotiseria</t>
        </is>
      </c>
      <c r="C928" s="14" t="inlineStr">
        <is>
          <t>Rotiserias casa de comidas</t>
        </is>
      </c>
      <c r="D928" s="14" t="inlineStr">
        <is>
          <t>Casa de comidas</t>
        </is>
      </c>
      <c r="E928" s="19" t="n">
        <v>34</v>
      </c>
      <c r="F928" s="19" t="n">
        <v>10447</v>
      </c>
      <c r="G928" s="21" t="inlineStr">
        <is>
          <t>https://guiarsanrafael.com.ar/empresa/la-esquina-rotiseria/</t>
        </is>
      </c>
    </row>
    <row r="929">
      <c r="A929" s="22" t="n">
        <v>928</v>
      </c>
      <c r="B929" s="23" t="inlineStr">
        <is>
          <t>La Granadina</t>
        </is>
      </c>
      <c r="C929" s="12" t="inlineStr">
        <is>
          <t>Panaderias</t>
        </is>
      </c>
      <c r="D929" s="12" t="inlineStr">
        <is>
          <t>Panaderia</t>
        </is>
      </c>
      <c r="E929" s="22" t="n">
        <v>63</v>
      </c>
      <c r="F929" s="22" t="n">
        <v>8640</v>
      </c>
      <c r="G929" s="24" t="inlineStr">
        <is>
          <t>https://guiarsanrafael.com.ar/empresa/la-granadina/</t>
        </is>
      </c>
    </row>
    <row r="930">
      <c r="A930" s="19" t="n">
        <v>929</v>
      </c>
      <c r="B930" s="20" t="inlineStr">
        <is>
          <t>La Granadina Artesanal</t>
        </is>
      </c>
      <c r="C930" s="14" t="inlineStr">
        <is>
          <t>Confiterias reposteria</t>
        </is>
      </c>
      <c r="D930" s="14" t="inlineStr">
        <is>
          <t>Confiteria</t>
        </is>
      </c>
      <c r="E930" s="19" t="n">
        <v>64</v>
      </c>
      <c r="F930" s="19" t="n">
        <v>8655</v>
      </c>
      <c r="G930" s="21" t="inlineStr">
        <is>
          <t>https://guiarsanrafael.com.ar/empresa/la-granadina-artesanal/</t>
        </is>
      </c>
    </row>
    <row r="931">
      <c r="A931" s="22" t="n">
        <v>930</v>
      </c>
      <c r="B931" s="23" t="inlineStr">
        <is>
          <t>LA GRINGA Fiambres y Vinos</t>
        </is>
      </c>
      <c r="C931" s="12" t="inlineStr">
        <is>
          <t>Fiambrerias</t>
        </is>
      </c>
      <c r="D931" s="12" t="inlineStr">
        <is>
          <t>Fiamfreria</t>
        </is>
      </c>
      <c r="E931" s="22" t="n">
        <v>140</v>
      </c>
      <c r="F931" s="22" t="n">
        <v>5621</v>
      </c>
      <c r="G931" s="24" t="inlineStr">
        <is>
          <t>https://guiarsanrafael.com.ar/empresa/la-gringa-fiambres-y-vinos/</t>
        </is>
      </c>
    </row>
    <row r="932">
      <c r="A932" s="19" t="n">
        <v>931</v>
      </c>
      <c r="B932" s="20" t="inlineStr">
        <is>
          <t>LA LINEA Pesca</t>
        </is>
      </c>
      <c r="C932" s="14" t="inlineStr">
        <is>
          <t>Armeria</t>
        </is>
      </c>
      <c r="D932" s="14" t="inlineStr">
        <is>
          <t>Armeria</t>
        </is>
      </c>
      <c r="E932" s="19" t="n">
        <v>165</v>
      </c>
      <c r="F932" s="19" t="n">
        <v>5027</v>
      </c>
      <c r="G932" s="21" t="inlineStr">
        <is>
          <t>https://guiarsanrafael.com.ar/empresa/la-linea-pesca/</t>
        </is>
      </c>
    </row>
    <row r="933">
      <c r="A933" s="22" t="n">
        <v>932</v>
      </c>
      <c r="B933" s="23" t="inlineStr">
        <is>
          <t>La Loca de la Limpieza</t>
        </is>
      </c>
      <c r="C933" s="12" t="inlineStr">
        <is>
          <t>Articulos de limpieza todo suelto</t>
        </is>
      </c>
      <c r="D933" s="12" t="inlineStr">
        <is>
          <t>(sin ubicación)</t>
        </is>
      </c>
      <c r="E933" s="22" t="n">
        <v>67</v>
      </c>
      <c r="F933" s="22" t="n">
        <v>8534</v>
      </c>
      <c r="G933" s="24" t="inlineStr">
        <is>
          <t>https://guiarsanrafael.com.ar/empresa/la-loca-de-la-limpieza/</t>
        </is>
      </c>
    </row>
    <row r="934">
      <c r="A934" s="19" t="n">
        <v>933</v>
      </c>
      <c r="B934" s="20" t="inlineStr">
        <is>
          <t>La Magia del Sol</t>
        </is>
      </c>
      <c r="C934" s="14" t="inlineStr">
        <is>
          <t>Articulos de limpieza todo suelto</t>
        </is>
      </c>
      <c r="D934" s="14" t="inlineStr">
        <is>
          <t>Articulos de limpieza</t>
        </is>
      </c>
      <c r="E934" s="19" t="n">
        <v>67</v>
      </c>
      <c r="F934" s="19" t="n">
        <v>8526</v>
      </c>
      <c r="G934" s="21" t="inlineStr">
        <is>
          <t>https://guiarsanrafael.com.ar/empresa/la-magia-del-sol/</t>
        </is>
      </c>
    </row>
    <row r="935">
      <c r="A935" s="22" t="n">
        <v>934</v>
      </c>
      <c r="B935" s="23" t="inlineStr">
        <is>
          <t>La Magia del Sol</t>
        </is>
      </c>
      <c r="C935" s="12" t="inlineStr">
        <is>
          <t>Articulos de limpieza todo suelto</t>
        </is>
      </c>
      <c r="D935" s="12" t="inlineStr">
        <is>
          <t>Articulos de limpieza</t>
        </is>
      </c>
      <c r="E935" s="22" t="n">
        <v>67</v>
      </c>
      <c r="F935" s="22" t="n">
        <v>8529</v>
      </c>
      <c r="G935" s="24" t="inlineStr">
        <is>
          <t>https://guiarsanrafael.com.ar/empresa/la-magia-del-sol-2/</t>
        </is>
      </c>
    </row>
    <row r="936">
      <c r="A936" s="19" t="n">
        <v>935</v>
      </c>
      <c r="B936" s="20" t="inlineStr">
        <is>
          <t>LA MANZANERIA</t>
        </is>
      </c>
      <c r="C936" s="14" t="inlineStr">
        <is>
          <t>Casa de comidas rotiseria viandas</t>
        </is>
      </c>
      <c r="D936" s="14" t="inlineStr">
        <is>
          <t>Casa de comidas</t>
        </is>
      </c>
      <c r="E936" s="19" t="n">
        <v>11</v>
      </c>
      <c r="F936" s="19" t="n">
        <v>13423</v>
      </c>
      <c r="G936" s="21" t="inlineStr">
        <is>
          <t>https://guiarsanrafael.com.ar/empresa/la-manzaneria/</t>
        </is>
      </c>
    </row>
    <row r="937">
      <c r="A937" s="22" t="n">
        <v>936</v>
      </c>
      <c r="B937" s="23" t="inlineStr">
        <is>
          <t>La Maquina Resto</t>
        </is>
      </c>
      <c r="C937" s="12" t="inlineStr">
        <is>
          <t>Restaurantes parrilas</t>
        </is>
      </c>
      <c r="D937" s="12" t="inlineStr">
        <is>
          <t>Restaurantes</t>
        </is>
      </c>
      <c r="E937" s="22" t="n">
        <v>37</v>
      </c>
      <c r="F937" s="22" t="n">
        <v>10256</v>
      </c>
      <c r="G937" s="24" t="inlineStr">
        <is>
          <t>https://guiarsanrafael.com.ar/empresa/la-maquina-resto/</t>
        </is>
      </c>
    </row>
    <row r="938">
      <c r="A938" s="19" t="n">
        <v>937</v>
      </c>
      <c r="B938" s="20" t="inlineStr">
        <is>
          <t>LA MARUJA Cosas de Campo</t>
        </is>
      </c>
      <c r="C938" s="14" t="inlineStr">
        <is>
          <t>Cuchilleria</t>
        </is>
      </c>
      <c r="D938" s="14" t="inlineStr">
        <is>
          <t>Cuchilleria</t>
        </is>
      </c>
      <c r="E938" s="19" t="n">
        <v>14</v>
      </c>
      <c r="F938" s="19" t="n">
        <v>12955</v>
      </c>
      <c r="G938" s="21" t="inlineStr">
        <is>
          <t>https://guiarsanrafael.com.ar/empresa/la-maruja-cosas-de-campo/</t>
        </is>
      </c>
    </row>
    <row r="939">
      <c r="A939" s="22" t="n">
        <v>938</v>
      </c>
      <c r="B939" s="23" t="inlineStr">
        <is>
          <t>LA OCASION Distribuidora Mayorista</t>
        </is>
      </c>
      <c r="C939" s="12" t="inlineStr">
        <is>
          <t>Articulos para el hogar bazar</t>
        </is>
      </c>
      <c r="D939" s="12" t="inlineStr">
        <is>
          <t>Articulos para el hogar</t>
        </is>
      </c>
      <c r="E939" s="22" t="n">
        <v>14</v>
      </c>
      <c r="F939" s="22" t="n">
        <v>12933</v>
      </c>
      <c r="G939" s="24" t="inlineStr">
        <is>
          <t>https://guiarsanrafael.com.ar/empresa/la-ocasion-distribuidora-mayorista/</t>
        </is>
      </c>
    </row>
    <row r="940">
      <c r="A940" s="19" t="n">
        <v>939</v>
      </c>
      <c r="B940" s="20" t="inlineStr">
        <is>
          <t>La Patagónica</t>
        </is>
      </c>
      <c r="C940" s="14" t="inlineStr">
        <is>
          <t>Panaderias</t>
        </is>
      </c>
      <c r="D940" s="14" t="inlineStr">
        <is>
          <t>Panaderia</t>
        </is>
      </c>
      <c r="E940" s="19" t="n">
        <v>63</v>
      </c>
      <c r="F940" s="19" t="n">
        <v>8669</v>
      </c>
      <c r="G940" s="21" t="inlineStr">
        <is>
          <t>https://guiarsanrafael.com.ar/empresa/la-patagonica/</t>
        </is>
      </c>
    </row>
    <row r="941">
      <c r="A941" s="22" t="n">
        <v>940</v>
      </c>
      <c r="B941" s="23" t="inlineStr">
        <is>
          <t>LA PAÑALERA</t>
        </is>
      </c>
      <c r="C941" s="12" t="inlineStr">
        <is>
          <t>Panaleras</t>
        </is>
      </c>
      <c r="D941" s="12" t="inlineStr">
        <is>
          <t>Panaleras</t>
        </is>
      </c>
      <c r="E941" s="22" t="n">
        <v>163</v>
      </c>
      <c r="F941" s="22" t="n">
        <v>5066</v>
      </c>
      <c r="G941" s="24" t="inlineStr">
        <is>
          <t>https://guiarsanrafael.com.ar/empresa/la-panalera/</t>
        </is>
      </c>
    </row>
    <row r="942">
      <c r="A942" s="19" t="n">
        <v>941</v>
      </c>
      <c r="B942" s="20" t="inlineStr">
        <is>
          <t>LA POSADA DE CACHO</t>
        </is>
      </c>
      <c r="C942" s="14" t="inlineStr">
        <is>
          <t>Alojamiento cabanas camping</t>
        </is>
      </c>
      <c r="D942" s="14" t="inlineStr">
        <is>
          <t>Alojamientos</t>
        </is>
      </c>
      <c r="E942" s="19" t="n">
        <v>14</v>
      </c>
      <c r="F942" s="19" t="n">
        <v>12870</v>
      </c>
      <c r="G942" s="21" t="inlineStr">
        <is>
          <t>https://guiarsanrafael.com.ar/empresa/la-posada-de-cacho/</t>
        </is>
      </c>
    </row>
    <row r="943">
      <c r="A943" s="22" t="n">
        <v>942</v>
      </c>
      <c r="B943" s="23" t="inlineStr">
        <is>
          <t>LA POSADA DEL INDIO</t>
        </is>
      </c>
      <c r="C943" s="12" t="inlineStr">
        <is>
          <t>Alojamiento cabanas camping</t>
        </is>
      </c>
      <c r="D943" s="12" t="inlineStr">
        <is>
          <t>Alojamientos</t>
        </is>
      </c>
      <c r="E943" s="22" t="n">
        <v>14</v>
      </c>
      <c r="F943" s="22" t="n">
        <v>12888</v>
      </c>
      <c r="G943" s="24" t="inlineStr">
        <is>
          <t>https://guiarsanrafael.com.ar/empresa/la-posada-del-indio/</t>
        </is>
      </c>
    </row>
    <row r="944">
      <c r="A944" s="19" t="n">
        <v>943</v>
      </c>
      <c r="B944" s="20" t="inlineStr">
        <is>
          <t>LA PRIMERA Pastas</t>
        </is>
      </c>
      <c r="C944" s="14" t="inlineStr">
        <is>
          <t>Fabrica de pastas</t>
        </is>
      </c>
      <c r="D944" s="14" t="inlineStr">
        <is>
          <t>Fabrica de pastas</t>
        </is>
      </c>
      <c r="E944" s="19" t="n">
        <v>163</v>
      </c>
      <c r="F944" s="19" t="n">
        <v>5096</v>
      </c>
      <c r="G944" s="21" t="inlineStr">
        <is>
          <t>https://guiarsanrafael.com.ar/empresa/la-primera-pastas/</t>
        </is>
      </c>
    </row>
    <row r="945">
      <c r="A945" s="22" t="n">
        <v>944</v>
      </c>
      <c r="B945" s="23" t="inlineStr">
        <is>
          <t>LA SAHUMERÍA</t>
        </is>
      </c>
      <c r="C945" s="12" t="inlineStr">
        <is>
          <t>Bazar regaleria</t>
        </is>
      </c>
      <c r="D945" s="12" t="inlineStr">
        <is>
          <t>Bazar regaleria</t>
        </is>
      </c>
      <c r="E945" s="22" t="n">
        <v>172</v>
      </c>
      <c r="F945" s="22" t="n">
        <v>4266</v>
      </c>
      <c r="G945" s="24" t="inlineStr">
        <is>
          <t>https://guiarsanrafael.com.ar/empresa/la-sahumeria/</t>
        </is>
      </c>
    </row>
    <row r="946">
      <c r="A946" s="19" t="n">
        <v>945</v>
      </c>
      <c r="B946" s="20" t="inlineStr">
        <is>
          <t>LA SUPREMA Comidas para Llevar</t>
        </is>
      </c>
      <c r="C946" s="14" t="inlineStr">
        <is>
          <t>Casa de comidas rotiseria viandas</t>
        </is>
      </c>
      <c r="D946" s="14" t="inlineStr">
        <is>
          <t>Casa de comidas</t>
        </is>
      </c>
      <c r="E946" s="19" t="n">
        <v>27</v>
      </c>
      <c r="F946" s="19" t="n">
        <v>11386</v>
      </c>
      <c r="G946" s="21" t="inlineStr">
        <is>
          <t>https://guiarsanrafael.com.ar/empresa/la-suprema-comidas-para-llevar/</t>
        </is>
      </c>
    </row>
    <row r="947">
      <c r="A947" s="22" t="n">
        <v>946</v>
      </c>
      <c r="B947" s="23" t="inlineStr">
        <is>
          <t>La Sureña Tienda de Cosméticos</t>
        </is>
      </c>
      <c r="C947" s="12" t="inlineStr">
        <is>
          <t>Cosmetica cosmetologia cosmetologa cosmiatra</t>
        </is>
      </c>
      <c r="D947" s="12" t="inlineStr">
        <is>
          <t>Cosmetica perfumeria</t>
        </is>
      </c>
      <c r="E947" s="22" t="n">
        <v>65</v>
      </c>
      <c r="F947" s="22" t="n">
        <v>8618</v>
      </c>
      <c r="G947" s="24" t="inlineStr">
        <is>
          <t>https://guiarsanrafael.com.ar/empresa/la-surena-tienda-de-cosmeticos/</t>
        </is>
      </c>
    </row>
    <row r="948">
      <c r="A948" s="19" t="n">
        <v>947</v>
      </c>
      <c r="B948" s="20" t="inlineStr">
        <is>
          <t>LA TANA Sin Gluten</t>
        </is>
      </c>
      <c r="C948" s="14" t="inlineStr">
        <is>
          <t>Almacen celiaco</t>
        </is>
      </c>
      <c r="D948" s="14" t="inlineStr">
        <is>
          <t>Almacen celiaco</t>
        </is>
      </c>
      <c r="E948" s="19" t="n">
        <v>21</v>
      </c>
      <c r="F948" s="19" t="n">
        <v>12117</v>
      </c>
      <c r="G948" s="21" t="inlineStr">
        <is>
          <t>https://guiarsanrafael.com.ar/empresa/la-tana-sin-gluten/</t>
        </is>
      </c>
    </row>
    <row r="949">
      <c r="A949" s="22" t="n">
        <v>948</v>
      </c>
      <c r="B949" s="23" t="inlineStr">
        <is>
          <t>LA TIA NONA Charcutería</t>
        </is>
      </c>
      <c r="C949" s="12" t="inlineStr">
        <is>
          <t>Carnicerias</t>
        </is>
      </c>
      <c r="D949" s="12" t="inlineStr">
        <is>
          <t>Carniceria</t>
        </is>
      </c>
      <c r="E949" s="22" t="n">
        <v>26</v>
      </c>
      <c r="F949" s="22" t="n">
        <v>11560</v>
      </c>
      <c r="G949" s="24" t="inlineStr">
        <is>
          <t>https://guiarsanrafael.com.ar/empresa/dona-nona/</t>
        </is>
      </c>
    </row>
    <row r="950">
      <c r="A950" s="19" t="n">
        <v>949</v>
      </c>
      <c r="B950" s="20" t="inlineStr">
        <is>
          <t>LA TIA NONA Rivadavia</t>
        </is>
      </c>
      <c r="C950" s="14" t="inlineStr">
        <is>
          <t>Carnicerias</t>
        </is>
      </c>
      <c r="D950" s="14" t="inlineStr">
        <is>
          <t>Carniceria</t>
        </is>
      </c>
      <c r="E950" s="19" t="n">
        <v>167</v>
      </c>
      <c r="F950" s="19" t="n">
        <v>4770</v>
      </c>
      <c r="G950" s="21" t="inlineStr">
        <is>
          <t>https://guiarsanrafael.com.ar/empresa/la-tia-nona-rivadavia/</t>
        </is>
      </c>
    </row>
    <row r="951">
      <c r="A951" s="22" t="n">
        <v>950</v>
      </c>
      <c r="B951" s="23" t="inlineStr">
        <is>
          <t>La Torre Frenos y Servicio</t>
        </is>
      </c>
      <c r="C951" s="12" t="inlineStr">
        <is>
          <t>Frenos taller repuestos</t>
        </is>
      </c>
      <c r="D951" s="12" t="inlineStr">
        <is>
          <t>Frenos</t>
        </is>
      </c>
      <c r="E951" s="22" t="n">
        <v>74</v>
      </c>
      <c r="F951" s="22" t="n">
        <v>8415</v>
      </c>
      <c r="G951" s="24" t="inlineStr">
        <is>
          <t>https://guiarsanrafael.com.ar/empresa/la-torre-frenos-y-servicio/</t>
        </is>
      </c>
    </row>
    <row r="952">
      <c r="A952" s="19" t="n">
        <v>951</v>
      </c>
      <c r="B952" s="20" t="inlineStr">
        <is>
          <t>LA VERA PIZZA</t>
        </is>
      </c>
      <c r="C952" s="14" t="inlineStr">
        <is>
          <t>Pizzerias casa de comidas</t>
        </is>
      </c>
      <c r="D952" s="14" t="inlineStr">
        <is>
          <t>Pizzerias</t>
        </is>
      </c>
      <c r="E952" s="19" t="n">
        <v>96</v>
      </c>
      <c r="F952" s="19" t="n">
        <v>7633</v>
      </c>
      <c r="G952" s="21" t="inlineStr">
        <is>
          <t>https://guiarsanrafael.com.ar/empresa/la-vera-pizza/</t>
        </is>
      </c>
    </row>
    <row r="953">
      <c r="A953" s="22" t="n">
        <v>952</v>
      </c>
      <c r="B953" s="23" t="inlineStr">
        <is>
          <t>La Vieja Bodega Serra</t>
        </is>
      </c>
      <c r="C953" s="12" t="inlineStr">
        <is>
          <t>Bodegas vinedos fincas</t>
        </is>
      </c>
      <c r="D953" s="12" t="inlineStr">
        <is>
          <t>Bodegas y vinedos</t>
        </is>
      </c>
      <c r="E953" s="22" t="n">
        <v>47</v>
      </c>
      <c r="F953" s="22" t="n">
        <v>9433</v>
      </c>
      <c r="G953" s="24" t="inlineStr">
        <is>
          <t>https://guiarsanrafael.com.ar/empresa/la-vieja-bodega-serra/</t>
        </is>
      </c>
    </row>
    <row r="954">
      <c r="A954" s="19" t="n">
        <v>953</v>
      </c>
      <c r="B954" s="20" t="inlineStr">
        <is>
          <t>La Vinoteca</t>
        </is>
      </c>
      <c r="C954" s="14" t="inlineStr">
        <is>
          <t>Tinenda de bebidas vinotecas licores</t>
        </is>
      </c>
      <c r="D954" s="14" t="inlineStr">
        <is>
          <t>Tienda de bebidas</t>
        </is>
      </c>
      <c r="E954" s="19" t="n">
        <v>51</v>
      </c>
      <c r="F954" s="19" t="n">
        <v>9316</v>
      </c>
      <c r="G954" s="21" t="inlineStr">
        <is>
          <t>https://guiarsanrafael.com.ar/empresa/la-vinoteca/</t>
        </is>
      </c>
    </row>
    <row r="955">
      <c r="A955" s="22" t="n">
        <v>954</v>
      </c>
      <c r="B955" s="23" t="inlineStr">
        <is>
          <t>LA VITA E VELLA Cabañas</t>
        </is>
      </c>
      <c r="C955" s="12" t="inlineStr">
        <is>
          <t>Alojamiento cabanas camping</t>
        </is>
      </c>
      <c r="D955" s="12" t="inlineStr">
        <is>
          <t>Alojamientos</t>
        </is>
      </c>
      <c r="E955" s="22" t="n">
        <v>90</v>
      </c>
      <c r="F955" s="22" t="n">
        <v>7865</v>
      </c>
      <c r="G955" s="24" t="inlineStr">
        <is>
          <t>https://guiarsanrafael.com.ar/empresa/7865/</t>
        </is>
      </c>
    </row>
    <row r="956">
      <c r="A956" s="19" t="n">
        <v>955</v>
      </c>
      <c r="B956" s="20" t="inlineStr">
        <is>
          <t>LAB Bioquímica Especializada</t>
        </is>
      </c>
      <c r="C956" s="14" t="inlineStr">
        <is>
          <t>Bioquimicos laboratorio</t>
        </is>
      </c>
      <c r="D956" s="14" t="inlineStr">
        <is>
          <t>Bioquimicos</t>
        </is>
      </c>
      <c r="E956" s="19" t="n">
        <v>40</v>
      </c>
      <c r="F956" s="19" t="n">
        <v>10027</v>
      </c>
      <c r="G956" s="21" t="inlineStr">
        <is>
          <t>https://guiarsanrafael.com.ar/empresa/lab-bioquimica-especializada-2/</t>
        </is>
      </c>
    </row>
    <row r="957">
      <c r="A957" s="22" t="n">
        <v>956</v>
      </c>
      <c r="B957" s="23" t="inlineStr">
        <is>
          <t>Labanca Nicolás</t>
        </is>
      </c>
      <c r="C957" s="12" t="inlineStr">
        <is>
          <t>Abogados abogadas estudios juridicos</t>
        </is>
      </c>
      <c r="D957" s="12" t="inlineStr">
        <is>
          <t>Abogados</t>
        </is>
      </c>
      <c r="E957" s="22" t="n">
        <v>119</v>
      </c>
      <c r="F957" s="22" t="n">
        <v>7114</v>
      </c>
      <c r="G957" s="24" t="inlineStr">
        <is>
          <t>https://guiarsanrafael.com.ar/empresa/labanca-nicolas/</t>
        </is>
      </c>
    </row>
    <row r="958">
      <c r="A958" s="19" t="n">
        <v>957</v>
      </c>
      <c r="B958" s="20" t="inlineStr">
        <is>
          <t>LACAM María Valeria</t>
        </is>
      </c>
      <c r="C958" s="14" t="inlineStr">
        <is>
          <t>Escribanias escribanos escribanas mandatario mandataria notarios notarias</t>
        </is>
      </c>
      <c r="D958" s="14" t="inlineStr">
        <is>
          <t>Escribanas</t>
        </is>
      </c>
      <c r="E958" s="19" t="n">
        <v>83</v>
      </c>
      <c r="F958" s="19" t="n">
        <v>8192</v>
      </c>
      <c r="G958" s="21" t="inlineStr">
        <is>
          <t>https://guiarsanrafael.com.ar/empresa/lacam-maria-valeria/</t>
        </is>
      </c>
    </row>
    <row r="959">
      <c r="A959" s="22" t="n">
        <v>958</v>
      </c>
      <c r="B959" s="23" t="inlineStr">
        <is>
          <t>LALO FARINA Mecánica</t>
        </is>
      </c>
      <c r="C959" s="12" t="inlineStr">
        <is>
          <t>Inyeccion electronica</t>
        </is>
      </c>
      <c r="D959" s="12" t="inlineStr">
        <is>
          <t>Mecanica del automotor</t>
        </is>
      </c>
      <c r="E959" s="22" t="n">
        <v>132</v>
      </c>
      <c r="F959" s="22" t="n">
        <v>6198</v>
      </c>
      <c r="G959" s="24" t="inlineStr">
        <is>
          <t>https://guiarsanrafael.com.ar/empresa/lalo-farina-mecanica/</t>
        </is>
      </c>
    </row>
    <row r="960">
      <c r="A960" s="19" t="n">
        <v>959</v>
      </c>
      <c r="B960" s="20" t="inlineStr">
        <is>
          <t>LAMENÁ GNEMMI Silvina</t>
        </is>
      </c>
      <c r="C960" s="14" t="inlineStr">
        <is>
          <t>Escribanias escribanos escribanas mandatario mandataria notarios notarias</t>
        </is>
      </c>
      <c r="D960" s="14" t="inlineStr">
        <is>
          <t>Escribanas</t>
        </is>
      </c>
      <c r="E960" s="19" t="n">
        <v>83</v>
      </c>
      <c r="F960" s="19" t="n">
        <v>8193</v>
      </c>
      <c r="G960" s="21" t="inlineStr">
        <is>
          <t>https://guiarsanrafael.com.ar/empresa/lamena-gnemmi-silvina/</t>
        </is>
      </c>
    </row>
    <row r="961">
      <c r="A961" s="22" t="n">
        <v>960</v>
      </c>
      <c r="B961" s="23" t="inlineStr">
        <is>
          <t>LARA MENDOZA Grafologa</t>
        </is>
      </c>
      <c r="C961" s="12" t="inlineStr">
        <is>
          <t>Grafologia grafoterapia grafologa</t>
        </is>
      </c>
      <c r="D961" s="12" t="inlineStr">
        <is>
          <t>Grafologia</t>
        </is>
      </c>
      <c r="E961" s="22" t="n">
        <v>10</v>
      </c>
      <c r="F961" s="22" t="n">
        <v>13529</v>
      </c>
      <c r="G961" s="24" t="inlineStr">
        <is>
          <t>https://guiarsanrafael.com.ar/empresa/lara-mendoza-grafologa/</t>
        </is>
      </c>
    </row>
    <row r="962">
      <c r="A962" s="19" t="n">
        <v>961</v>
      </c>
      <c r="B962" s="20" t="inlineStr">
        <is>
          <t>Laura Alvarez</t>
        </is>
      </c>
      <c r="C962" s="14" t="inlineStr">
        <is>
          <t>Obstetricia ginecologia</t>
        </is>
      </c>
      <c r="D962" s="14" t="inlineStr">
        <is>
          <t>Ginecologia y obsterticia</t>
        </is>
      </c>
      <c r="E962" s="19" t="n">
        <v>148</v>
      </c>
      <c r="F962" s="19" t="n">
        <v>5441</v>
      </c>
      <c r="G962" s="21" t="inlineStr">
        <is>
          <t>https://guiarsanrafael.com.ar/empresa/laura-alvarez/</t>
        </is>
      </c>
    </row>
    <row r="963">
      <c r="A963" s="22" t="n">
        <v>962</v>
      </c>
      <c r="B963" s="23" t="inlineStr">
        <is>
          <t>LAURA BLANCO</t>
        </is>
      </c>
      <c r="C963" s="12" t="inlineStr">
        <is>
          <t>Clinica medica</t>
        </is>
      </c>
      <c r="D963" s="12" t="inlineStr">
        <is>
          <t>Clinica medica</t>
        </is>
      </c>
      <c r="E963" s="22" t="n">
        <v>19</v>
      </c>
      <c r="F963" s="22" t="n">
        <v>12353</v>
      </c>
      <c r="G963" s="24" t="inlineStr">
        <is>
          <t>https://guiarsanrafael.com.ar/empresa/laura-blanco/</t>
        </is>
      </c>
    </row>
    <row r="964">
      <c r="A964" s="19" t="n">
        <v>963</v>
      </c>
      <c r="B964" s="20" t="inlineStr">
        <is>
          <t>LAURA CELINA SANS</t>
        </is>
      </c>
      <c r="C964" s="14" t="inlineStr">
        <is>
          <t>Institutos oftalmologicos oftalmologia oftalmologos</t>
        </is>
      </c>
      <c r="D964" s="14" t="inlineStr">
        <is>
          <t>Centro oftalmologico</t>
        </is>
      </c>
      <c r="E964" s="19" t="n">
        <v>139</v>
      </c>
      <c r="F964" s="19" t="n">
        <v>5663</v>
      </c>
      <c r="G964" s="21" t="inlineStr">
        <is>
          <t>https://guiarsanrafael.com.ar/empresa/laura-celina-sans/</t>
        </is>
      </c>
    </row>
    <row r="965">
      <c r="A965" s="22" t="n">
        <v>964</v>
      </c>
      <c r="B965" s="23" t="inlineStr">
        <is>
          <t>LAURA MONDACA Cosmiatra</t>
        </is>
      </c>
      <c r="C965" s="12" t="inlineStr">
        <is>
          <t>Centro de estetica</t>
        </is>
      </c>
      <c r="D965" s="12" t="inlineStr">
        <is>
          <t>Centro de estetica</t>
        </is>
      </c>
      <c r="E965" s="22" t="n">
        <v>130</v>
      </c>
      <c r="F965" s="22" t="n">
        <v>6383</v>
      </c>
      <c r="G965" s="24" t="inlineStr">
        <is>
          <t>https://guiarsanrafael.com.ar/empresa/laura-mondaca-cosmiatra/</t>
        </is>
      </c>
    </row>
    <row r="966">
      <c r="A966" s="19" t="n">
        <v>965</v>
      </c>
      <c r="B966" s="20" t="inlineStr">
        <is>
          <t>LAURA MORENO</t>
        </is>
      </c>
      <c r="C966" s="14" t="inlineStr">
        <is>
          <t>Centro de estetica</t>
        </is>
      </c>
      <c r="D966" s="14" t="inlineStr">
        <is>
          <t>Centro de estetica</t>
        </is>
      </c>
      <c r="E966" s="19" t="n">
        <v>173</v>
      </c>
      <c r="F966" s="19" t="n">
        <v>4206</v>
      </c>
      <c r="G966" s="21" t="inlineStr">
        <is>
          <t>https://guiarsanrafael.com.ar/empresa/laura-moreno/</t>
        </is>
      </c>
    </row>
    <row r="967">
      <c r="A967" s="22" t="n">
        <v>966</v>
      </c>
      <c r="B967" s="23" t="inlineStr">
        <is>
          <t>LAURO A. CASTILLO</t>
        </is>
      </c>
      <c r="C967" s="12" t="inlineStr">
        <is>
          <t>Cardiologia medico cardiologo</t>
        </is>
      </c>
      <c r="D967" s="12" t="inlineStr">
        <is>
          <t>Cardiologia</t>
        </is>
      </c>
      <c r="E967" s="22" t="n">
        <v>9</v>
      </c>
      <c r="F967" s="22" t="n">
        <v>13819</v>
      </c>
      <c r="G967" s="24" t="inlineStr">
        <is>
          <t>https://guiarsanrafael.com.ar/empresa/lauro-a-castillo/</t>
        </is>
      </c>
    </row>
    <row r="968">
      <c r="A968" s="19" t="n">
        <v>967</v>
      </c>
      <c r="B968" s="20" t="inlineStr">
        <is>
          <t>LAVANDERÍA LAS HERAS</t>
        </is>
      </c>
      <c r="C968" s="14" t="inlineStr">
        <is>
          <t>Lavanderias</t>
        </is>
      </c>
      <c r="D968" s="14" t="inlineStr">
        <is>
          <t>Lavanderias</t>
        </is>
      </c>
      <c r="E968" s="19" t="n">
        <v>130</v>
      </c>
      <c r="F968" s="19" t="n">
        <v>6391</v>
      </c>
      <c r="G968" s="21" t="inlineStr">
        <is>
          <t>https://guiarsanrafael.com.ar/empresa/lavanderia-las-heras/</t>
        </is>
      </c>
    </row>
    <row r="969">
      <c r="A969" s="22" t="n">
        <v>968</v>
      </c>
      <c r="B969" s="23" t="inlineStr">
        <is>
          <t>Le Boulanger</t>
        </is>
      </c>
      <c r="C969" s="12" t="inlineStr">
        <is>
          <t>Cafeterias cafe desayunos</t>
        </is>
      </c>
      <c r="D969" s="12" t="inlineStr">
        <is>
          <t>Confiteria</t>
        </is>
      </c>
      <c r="E969" s="22" t="n">
        <v>64</v>
      </c>
      <c r="F969" s="22" t="n">
        <v>8647</v>
      </c>
      <c r="G969" s="24" t="inlineStr">
        <is>
          <t>https://guiarsanrafael.com.ar/empresa/le-boulanger-3/</t>
        </is>
      </c>
    </row>
    <row r="970">
      <c r="A970" s="19" t="n">
        <v>969</v>
      </c>
      <c r="B970" s="20" t="inlineStr">
        <is>
          <t>Le Boulanger</t>
        </is>
      </c>
      <c r="C970" s="14" t="inlineStr">
        <is>
          <t>Cafeterias cafe desayunos</t>
        </is>
      </c>
      <c r="D970" s="14" t="inlineStr">
        <is>
          <t>Confiteria</t>
        </is>
      </c>
      <c r="E970" s="19" t="n">
        <v>64</v>
      </c>
      <c r="F970" s="19" t="n">
        <v>8648</v>
      </c>
      <c r="G970" s="21" t="inlineStr">
        <is>
          <t>https://guiarsanrafael.com.ar/empresa/le-boulanger-4/</t>
        </is>
      </c>
    </row>
    <row r="971">
      <c r="A971" s="22" t="n">
        <v>970</v>
      </c>
      <c r="B971" s="23" t="inlineStr">
        <is>
          <t>Le Boulanger</t>
        </is>
      </c>
      <c r="C971" s="12" t="inlineStr">
        <is>
          <t>Cafeterias cafe desayunos</t>
        </is>
      </c>
      <c r="D971" s="12" t="inlineStr">
        <is>
          <t>Confiteria</t>
        </is>
      </c>
      <c r="E971" s="22" t="n">
        <v>65</v>
      </c>
      <c r="F971" s="22" t="n">
        <v>8645</v>
      </c>
      <c r="G971" s="24" t="inlineStr">
        <is>
          <t>https://guiarsanrafael.com.ar/empresa/le-boulanger/</t>
        </is>
      </c>
    </row>
    <row r="972">
      <c r="A972" s="19" t="n">
        <v>971</v>
      </c>
      <c r="B972" s="20" t="inlineStr">
        <is>
          <t>Le Boulanger</t>
        </is>
      </c>
      <c r="C972" s="14" t="inlineStr">
        <is>
          <t>Cafeterias cafe desayunos</t>
        </is>
      </c>
      <c r="D972" s="14" t="inlineStr">
        <is>
          <t>Confiteria</t>
        </is>
      </c>
      <c r="E972" s="19" t="n">
        <v>65</v>
      </c>
      <c r="F972" s="19" t="n">
        <v>8646</v>
      </c>
      <c r="G972" s="21" t="inlineStr">
        <is>
          <t>https://guiarsanrafael.com.ar/empresa/le-boulanger-2/</t>
        </is>
      </c>
    </row>
    <row r="973">
      <c r="A973" s="22" t="n">
        <v>972</v>
      </c>
      <c r="B973" s="23" t="inlineStr">
        <is>
          <t>Le Chateau  Panadería</t>
        </is>
      </c>
      <c r="C973" s="12" t="inlineStr">
        <is>
          <t>Confiterias reposteria</t>
        </is>
      </c>
      <c r="D973" s="12" t="inlineStr">
        <is>
          <t>Panaderia</t>
        </is>
      </c>
      <c r="E973" s="22" t="n">
        <v>65</v>
      </c>
      <c r="F973" s="22" t="n">
        <v>8644</v>
      </c>
      <c r="G973" s="24" t="inlineStr">
        <is>
          <t>https://guiarsanrafael.com.ar/empresa/le-chateau-panaderia/</t>
        </is>
      </c>
    </row>
    <row r="974">
      <c r="A974" s="19" t="n">
        <v>973</v>
      </c>
      <c r="B974" s="20" t="inlineStr">
        <is>
          <t>LEANDRO HERRERO</t>
        </is>
      </c>
      <c r="C974" s="14" t="inlineStr">
        <is>
          <t>Cardiologia medico cardiologo</t>
        </is>
      </c>
      <c r="D974" s="14" t="inlineStr">
        <is>
          <t>Cardiologia</t>
        </is>
      </c>
      <c r="E974" s="19" t="n">
        <v>164</v>
      </c>
      <c r="F974" s="19" t="n">
        <v>5050</v>
      </c>
      <c r="G974" s="21" t="inlineStr">
        <is>
          <t>https://guiarsanrafael.com.ar/empresa/leandro-herrero/</t>
        </is>
      </c>
    </row>
    <row r="975">
      <c r="A975" s="22" t="n">
        <v>974</v>
      </c>
      <c r="B975" s="23" t="inlineStr">
        <is>
          <t>LEANDRO ROCA</t>
        </is>
      </c>
      <c r="C975" s="12" t="inlineStr">
        <is>
          <t>Oftalmologia oftalmologos</t>
        </is>
      </c>
      <c r="D975" s="12" t="inlineStr">
        <is>
          <t>Oftalmologia</t>
        </is>
      </c>
      <c r="E975" s="22" t="n">
        <v>134</v>
      </c>
      <c r="F975" s="22" t="n">
        <v>6044</v>
      </c>
      <c r="G975" s="24" t="inlineStr">
        <is>
          <t>https://guiarsanrafael.com.ar/empresa/leandro-roca/</t>
        </is>
      </c>
    </row>
    <row r="976">
      <c r="A976" s="19" t="n">
        <v>975</v>
      </c>
      <c r="B976" s="20" t="inlineStr">
        <is>
          <t>LECLA FEST</t>
        </is>
      </c>
      <c r="C976" s="14" t="inlineStr">
        <is>
          <t>Alquiler de disfraces</t>
        </is>
      </c>
      <c r="D976" s="14" t="inlineStr">
        <is>
          <t>Alquiler de disfraces</t>
        </is>
      </c>
      <c r="E976" s="19" t="n">
        <v>2</v>
      </c>
      <c r="F976" s="19" t="n">
        <v>15072</v>
      </c>
      <c r="G976" s="21" t="inlineStr">
        <is>
          <t>https://guiarsanrafael.com.ar/empresa/lecla-fest/</t>
        </is>
      </c>
    </row>
    <row r="977">
      <c r="A977" s="22" t="n">
        <v>976</v>
      </c>
      <c r="B977" s="23" t="inlineStr">
        <is>
          <t>LECLA Hombre &amp; Mujer</t>
        </is>
      </c>
      <c r="C977" s="12" t="inlineStr">
        <is>
          <t>Alquiler de trajes</t>
        </is>
      </c>
      <c r="D977" s="12" t="inlineStr">
        <is>
          <t>Alquiler de trajes</t>
        </is>
      </c>
      <c r="E977" s="22" t="n">
        <v>1</v>
      </c>
      <c r="F977" s="22" t="n">
        <v>15073</v>
      </c>
      <c r="G977" s="24" t="inlineStr">
        <is>
          <t>https://guiarsanrafael.com.ar/empresa/lecla-hombre-mujer/</t>
        </is>
      </c>
    </row>
    <row r="978">
      <c r="A978" s="19" t="n">
        <v>977</v>
      </c>
      <c r="B978" s="20" t="inlineStr">
        <is>
          <t>LECLA Reparación de Electrodomésticos</t>
        </is>
      </c>
      <c r="C978" s="14" t="inlineStr">
        <is>
          <t>Electrodomesticos repuestos</t>
        </is>
      </c>
      <c r="D978" s="14" t="inlineStr">
        <is>
          <t>Repuestos de electrodomesticos</t>
        </is>
      </c>
      <c r="E978" s="19" t="n">
        <v>58</v>
      </c>
      <c r="F978" s="19" t="n">
        <v>8970</v>
      </c>
      <c r="G978" s="21" t="inlineStr">
        <is>
          <t>https://guiarsanrafael.com.ar/empresa/lecla-reparacion-de-electrodomesticos/</t>
        </is>
      </c>
    </row>
    <row r="979">
      <c r="A979" s="22" t="n">
        <v>978</v>
      </c>
      <c r="B979" s="23" t="inlineStr">
        <is>
          <t>Leonardo Medaura</t>
        </is>
      </c>
      <c r="C979" s="12" t="inlineStr">
        <is>
          <t>Odontologia</t>
        </is>
      </c>
      <c r="D979" s="12" t="inlineStr">
        <is>
          <t>Odontologia</t>
        </is>
      </c>
      <c r="E979" s="22" t="n">
        <v>102</v>
      </c>
      <c r="F979" s="22" t="n">
        <v>7394</v>
      </c>
      <c r="G979" s="24" t="inlineStr">
        <is>
          <t>https://guiarsanrafael.com.ar/empresa/leonardo-medaura/</t>
        </is>
      </c>
    </row>
    <row r="980">
      <c r="A980" s="19" t="n">
        <v>979</v>
      </c>
      <c r="B980" s="20" t="inlineStr">
        <is>
          <t>LEONARDO SCHIAVONE</t>
        </is>
      </c>
      <c r="C980" s="14" t="inlineStr">
        <is>
          <t>Cardiologia medico cardiologo</t>
        </is>
      </c>
      <c r="D980" s="14" t="inlineStr">
        <is>
          <t>Cardiologia</t>
        </is>
      </c>
      <c r="E980" s="19" t="n">
        <v>164</v>
      </c>
      <c r="F980" s="19" t="n">
        <v>5052</v>
      </c>
      <c r="G980" s="21" t="inlineStr">
        <is>
          <t>https://guiarsanrafael.com.ar/empresa/leonardo-schiavone/</t>
        </is>
      </c>
    </row>
    <row r="981">
      <c r="A981" s="22" t="n">
        <v>980</v>
      </c>
      <c r="B981" s="23" t="inlineStr">
        <is>
          <t>Leticia Contreras</t>
        </is>
      </c>
      <c r="C981" s="12" t="inlineStr">
        <is>
          <t>Clinica del lenguaje</t>
        </is>
      </c>
      <c r="D981" s="12" t="inlineStr">
        <is>
          <t>Clinica del lenguaje</t>
        </is>
      </c>
      <c r="E981" s="22" t="n">
        <v>157</v>
      </c>
      <c r="F981" s="22" t="n">
        <v>5308</v>
      </c>
      <c r="G981" s="24" t="inlineStr">
        <is>
          <t>https://guiarsanrafael.com.ar/empresa/leticia-contreras/</t>
        </is>
      </c>
    </row>
    <row r="982">
      <c r="A982" s="19" t="n">
        <v>981</v>
      </c>
      <c r="B982" s="20" t="inlineStr">
        <is>
          <t>LIA MORANDI Estetica Integral</t>
        </is>
      </c>
      <c r="C982" s="14" t="inlineStr">
        <is>
          <t>Centro de estetica</t>
        </is>
      </c>
      <c r="D982" s="14" t="inlineStr">
        <is>
          <t>Centro de estetica</t>
        </is>
      </c>
      <c r="E982" s="19" t="n">
        <v>21</v>
      </c>
      <c r="F982" s="19" t="n">
        <v>12127</v>
      </c>
      <c r="G982" s="21" t="inlineStr">
        <is>
          <t>https://guiarsanrafael.com.ar/empresa/lia-morandi-estetica-integral/</t>
        </is>
      </c>
    </row>
    <row r="983">
      <c r="A983" s="22" t="n">
        <v>982</v>
      </c>
      <c r="B983" s="23" t="inlineStr">
        <is>
          <t>LIBRA Gimnasio</t>
        </is>
      </c>
      <c r="C983" s="12" t="inlineStr">
        <is>
          <t>Gimnasios gym</t>
        </is>
      </c>
      <c r="D983" s="12" t="inlineStr">
        <is>
          <t>(sin ubicación)</t>
        </is>
      </c>
      <c r="E983" s="22" t="n">
        <v>166</v>
      </c>
      <c r="F983" s="22" t="n">
        <v>4910</v>
      </c>
      <c r="G983" s="24" t="inlineStr">
        <is>
          <t>https://guiarsanrafael.com.ar/empresa/libra-gimnasio/</t>
        </is>
      </c>
    </row>
    <row r="984">
      <c r="A984" s="19" t="n">
        <v>983</v>
      </c>
      <c r="B984" s="20" t="inlineStr">
        <is>
          <t>LIBRERIA ARCO IRIS</t>
        </is>
      </c>
      <c r="C984" s="14" t="inlineStr">
        <is>
          <t>Bazar regaleria</t>
        </is>
      </c>
      <c r="D984" s="14" t="inlineStr">
        <is>
          <t>Fotocopias</t>
        </is>
      </c>
      <c r="E984" s="19" t="n">
        <v>25</v>
      </c>
      <c r="F984" s="19" t="n">
        <v>11687</v>
      </c>
      <c r="G984" s="21" t="inlineStr">
        <is>
          <t>https://guiarsanrafael.com.ar/empresa/libreria-arco-iris/</t>
        </is>
      </c>
    </row>
    <row r="985">
      <c r="A985" s="22" t="n">
        <v>984</v>
      </c>
      <c r="B985" s="23" t="inlineStr">
        <is>
          <t>LIBRERIA MAGENTA</t>
        </is>
      </c>
      <c r="C985" s="12" t="inlineStr">
        <is>
          <t>Fotocopias</t>
        </is>
      </c>
      <c r="D985" s="12" t="inlineStr">
        <is>
          <t>Fotocopiadoras</t>
        </is>
      </c>
      <c r="E985" s="22" t="n">
        <v>171</v>
      </c>
      <c r="F985" s="22" t="n">
        <v>4393</v>
      </c>
      <c r="G985" s="24" t="inlineStr">
        <is>
          <t>https://guiarsanrafael.com.ar/empresa/libreria-magenta/</t>
        </is>
      </c>
    </row>
    <row r="986">
      <c r="A986" s="19" t="n">
        <v>985</v>
      </c>
      <c r="B986" s="20" t="inlineStr">
        <is>
          <t>LIBRERÍA SAN LORENZO</t>
        </is>
      </c>
      <c r="C986" s="14" t="inlineStr">
        <is>
          <t>Bazar regaleria</t>
        </is>
      </c>
      <c r="D986" s="14" t="inlineStr">
        <is>
          <t>Librerias</t>
        </is>
      </c>
      <c r="E986" s="19" t="n">
        <v>16</v>
      </c>
      <c r="F986" s="19" t="n">
        <v>12594</v>
      </c>
      <c r="G986" s="21" t="inlineStr">
        <is>
          <t>https://guiarsanrafael.com.ar/empresa/libreria-san-lorenzo/</t>
        </is>
      </c>
    </row>
    <row r="987">
      <c r="A987" s="22" t="n">
        <v>986</v>
      </c>
      <c r="B987" s="23" t="inlineStr">
        <is>
          <t>LILIANA B. BALDONI</t>
        </is>
      </c>
      <c r="C987" s="12" t="inlineStr">
        <is>
          <t>Abogados abogadas estudios juridicos</t>
        </is>
      </c>
      <c r="D987" s="12" t="inlineStr">
        <is>
          <t>Abogadas</t>
        </is>
      </c>
      <c r="E987" s="22" t="n">
        <v>116</v>
      </c>
      <c r="F987" s="22" t="n">
        <v>7155</v>
      </c>
      <c r="G987" s="24" t="inlineStr">
        <is>
          <t>https://guiarsanrafael.com.ar/empresa/baldoni-liliana-b/</t>
        </is>
      </c>
    </row>
    <row r="988">
      <c r="A988" s="19" t="n">
        <v>987</v>
      </c>
      <c r="B988" s="20" t="inlineStr">
        <is>
          <t>LIMPIA FÁCIL</t>
        </is>
      </c>
      <c r="C988" s="14" t="inlineStr">
        <is>
          <t>Articulos de limpieza todo suelto</t>
        </is>
      </c>
      <c r="D988" s="14" t="inlineStr">
        <is>
          <t>Articulos de limpieza</t>
        </is>
      </c>
      <c r="E988" s="19" t="n">
        <v>16</v>
      </c>
      <c r="F988" s="19" t="n">
        <v>12638</v>
      </c>
      <c r="G988" s="21" t="inlineStr">
        <is>
          <t>https://guiarsanrafael.com.ar/empresa/limpia-facil/</t>
        </is>
      </c>
    </row>
    <row r="989">
      <c r="A989" s="22" t="n">
        <v>988</v>
      </c>
      <c r="B989" s="23" t="inlineStr">
        <is>
          <t>LIMPIC Fábrica de Productos de Limpieza</t>
        </is>
      </c>
      <c r="C989" s="12" t="inlineStr">
        <is>
          <t>Articulos de limpieza todo suelto</t>
        </is>
      </c>
      <c r="D989" s="12" t="inlineStr">
        <is>
          <t>Articulos de limpieza</t>
        </is>
      </c>
      <c r="E989" s="22" t="n">
        <v>68</v>
      </c>
      <c r="F989" s="22" t="n">
        <v>8520</v>
      </c>
      <c r="G989" s="24" t="inlineStr">
        <is>
          <t>https://guiarsanrafael.com.ar/empresa/limpic-fabrica-de-productos-de-limpieza/</t>
        </is>
      </c>
    </row>
    <row r="990">
      <c r="A990" s="19" t="n">
        <v>989</v>
      </c>
      <c r="B990" s="20" t="inlineStr">
        <is>
          <t>LINEA CORPORAL Dance</t>
        </is>
      </c>
      <c r="C990" s="14" t="inlineStr">
        <is>
          <t>Academia</t>
        </is>
      </c>
      <c r="D990" s="14" t="inlineStr">
        <is>
          <t>Academias</t>
        </is>
      </c>
      <c r="E990" s="19" t="n">
        <v>25</v>
      </c>
      <c r="F990" s="19" t="n">
        <v>11616</v>
      </c>
      <c r="G990" s="21" t="inlineStr">
        <is>
          <t>https://guiarsanrafael.com.ar/empresa/linea-corporal-dance/</t>
        </is>
      </c>
    </row>
    <row r="991">
      <c r="A991" s="22" t="n">
        <v>990</v>
      </c>
      <c r="B991" s="23" t="inlineStr">
        <is>
          <t>Linea Hogar</t>
        </is>
      </c>
      <c r="C991" s="12" t="inlineStr">
        <is>
          <t>Articulos de limpieza todo suelto</t>
        </is>
      </c>
      <c r="D991" s="12" t="inlineStr">
        <is>
          <t>Articulos de limpieza</t>
        </is>
      </c>
      <c r="E991" s="22" t="n">
        <v>67</v>
      </c>
      <c r="F991" s="22" t="n">
        <v>8524</v>
      </c>
      <c r="G991" s="24" t="inlineStr">
        <is>
          <t>https://guiarsanrafael.com.ar/empresa/linea-hogar/</t>
        </is>
      </c>
    </row>
    <row r="992">
      <c r="A992" s="19" t="n">
        <v>991</v>
      </c>
      <c r="B992" s="20" t="inlineStr">
        <is>
          <t>LIRA MARTINEZ REJTMAN</t>
        </is>
      </c>
      <c r="C992" s="14" t="inlineStr">
        <is>
          <t>Gastroenterologia</t>
        </is>
      </c>
      <c r="D992" s="14" t="inlineStr">
        <is>
          <t>Gastroenterologia</t>
        </is>
      </c>
      <c r="E992" s="19" t="n">
        <v>105</v>
      </c>
      <c r="F992" s="19" t="n">
        <v>7311</v>
      </c>
      <c r="G992" s="21" t="inlineStr">
        <is>
          <t>https://guiarsanrafael.com.ar/empresa/lira-martinez-rejtman/</t>
        </is>
      </c>
    </row>
    <row r="993">
      <c r="A993" s="22" t="n">
        <v>992</v>
      </c>
      <c r="B993" s="23" t="inlineStr">
        <is>
          <t>LIVIER Vinos y Licores</t>
        </is>
      </c>
      <c r="C993" s="12" t="inlineStr">
        <is>
          <t>Tinenda de bebidas vinotecas licores</t>
        </is>
      </c>
      <c r="D993" s="12" t="inlineStr">
        <is>
          <t>Tienda de bebidas</t>
        </is>
      </c>
      <c r="E993" s="22" t="n">
        <v>51</v>
      </c>
      <c r="F993" s="22" t="n">
        <v>9314</v>
      </c>
      <c r="G993" s="24" t="inlineStr">
        <is>
          <t>https://guiarsanrafael.com.ar/empresa/livier-vinos-y-licores/</t>
        </is>
      </c>
    </row>
    <row r="994">
      <c r="A994" s="19" t="n">
        <v>993</v>
      </c>
      <c r="B994" s="20" t="inlineStr">
        <is>
          <t>LO DE GAMO Peluquería y Alimentos</t>
        </is>
      </c>
      <c r="C994" s="14" t="inlineStr">
        <is>
          <t>Alimentos balanceados</t>
        </is>
      </c>
      <c r="D994" s="14" t="inlineStr">
        <is>
          <t>Alimentos balanceados</t>
        </is>
      </c>
      <c r="E994" s="19" t="n">
        <v>41</v>
      </c>
      <c r="F994" s="19" t="n">
        <v>9927</v>
      </c>
      <c r="G994" s="21" t="inlineStr">
        <is>
          <t>https://guiarsanrafael.com.ar/empresa/lo-de-gamo-peluqueria-y-alimentos/</t>
        </is>
      </c>
    </row>
    <row r="995">
      <c r="A995" s="22" t="n">
        <v>994</v>
      </c>
      <c r="B995" s="23" t="inlineStr">
        <is>
          <t>LO DE LETI Polleria</t>
        </is>
      </c>
      <c r="C995" s="12" t="inlineStr">
        <is>
          <t>Casa de comidas rotiseria viandas</t>
        </is>
      </c>
      <c r="D995" s="12" t="inlineStr">
        <is>
          <t>Casa de comidas</t>
        </is>
      </c>
      <c r="E995" s="22" t="n">
        <v>109</v>
      </c>
      <c r="F995" s="22" t="n">
        <v>7229</v>
      </c>
      <c r="G995" s="24" t="inlineStr">
        <is>
          <t>https://guiarsanrafael.com.ar/empresa/lo-de-leti/</t>
        </is>
      </c>
    </row>
    <row r="996">
      <c r="A996" s="19" t="n">
        <v>995</v>
      </c>
      <c r="B996" s="20" t="inlineStr">
        <is>
          <t>LO DE MARCIAL</t>
        </is>
      </c>
      <c r="C996" s="14" t="inlineStr">
        <is>
          <t>Casa de comidas rotiseria viandas</t>
        </is>
      </c>
      <c r="D996" s="14" t="inlineStr">
        <is>
          <t>Casa de comidas</t>
        </is>
      </c>
      <c r="E996" s="19" t="n">
        <v>36</v>
      </c>
      <c r="F996" s="19" t="n">
        <v>10293</v>
      </c>
      <c r="G996" s="21" t="inlineStr">
        <is>
          <t>https://guiarsanrafael.com.ar/empresa/lo-de-marcial/</t>
        </is>
      </c>
    </row>
    <row r="997">
      <c r="A997" s="22" t="n">
        <v>996</v>
      </c>
      <c r="B997" s="23" t="inlineStr">
        <is>
          <t>LOLIVIA Helados Artesanales</t>
        </is>
      </c>
      <c r="C997" s="12" t="inlineStr">
        <is>
          <t>Heladerias postres</t>
        </is>
      </c>
      <c r="D997" s="12" t="inlineStr">
        <is>
          <t>Heladerias</t>
        </is>
      </c>
      <c r="E997" s="22" t="n">
        <v>35</v>
      </c>
      <c r="F997" s="22" t="n">
        <v>10423</v>
      </c>
      <c r="G997" s="24" t="inlineStr">
        <is>
          <t>https://guiarsanrafael.com.ar/empresa/lolivia-helados-artesanales/</t>
        </is>
      </c>
    </row>
    <row r="998">
      <c r="A998" s="19" t="n">
        <v>997</v>
      </c>
      <c r="B998" s="20" t="inlineStr">
        <is>
          <t>LOLOS &amp; CO Tienda para Mascotas</t>
        </is>
      </c>
      <c r="C998" s="14" t="inlineStr">
        <is>
          <t>Alimentos balanceados</t>
        </is>
      </c>
      <c r="D998" s="14" t="inlineStr">
        <is>
          <t>Alimentos balanceados</t>
        </is>
      </c>
      <c r="E998" s="19" t="n">
        <v>39</v>
      </c>
      <c r="F998" s="19" t="n">
        <v>10171</v>
      </c>
      <c r="G998" s="21" t="inlineStr">
        <is>
          <t>https://guiarsanrafael.com.ar/empresa/lolos-co-tienda-para-mascotas/</t>
        </is>
      </c>
    </row>
    <row r="999">
      <c r="A999" s="22" t="n">
        <v>998</v>
      </c>
      <c r="B999" s="23" t="inlineStr">
        <is>
          <t>LONAS CUYO</t>
        </is>
      </c>
      <c r="C999" s="12" t="inlineStr">
        <is>
          <t>Cortinados</t>
        </is>
      </c>
      <c r="D999" s="12" t="inlineStr">
        <is>
          <t>Cortinados</t>
        </is>
      </c>
      <c r="E999" s="22" t="n">
        <v>43</v>
      </c>
      <c r="F999" s="22" t="n">
        <v>9707</v>
      </c>
      <c r="G999" s="24" t="inlineStr">
        <is>
          <t>https://guiarsanrafael.com.ar/empresa/lonas-cuyo/</t>
        </is>
      </c>
    </row>
    <row r="1000">
      <c r="A1000" s="19" t="n">
        <v>999</v>
      </c>
      <c r="B1000" s="20" t="inlineStr">
        <is>
          <t>LOPEZ ANTEQUERA Franco Martin</t>
        </is>
      </c>
      <c r="C1000" s="14" t="inlineStr">
        <is>
          <t>Escribanias escribanos escribanas mandatario mandataria notarios notarias</t>
        </is>
      </c>
      <c r="D1000" s="14" t="inlineStr">
        <is>
          <t>Escribanias</t>
        </is>
      </c>
      <c r="E1000" s="19" t="n">
        <v>82</v>
      </c>
      <c r="F1000" s="19" t="n">
        <v>8194</v>
      </c>
      <c r="G1000" s="21" t="inlineStr">
        <is>
          <t>https://guiarsanrafael.com.ar/empresa/lopez-antequera-franco-martin/</t>
        </is>
      </c>
    </row>
    <row r="1001">
      <c r="A1001" s="22" t="n">
        <v>1000</v>
      </c>
      <c r="B1001" s="23" t="inlineStr">
        <is>
          <t>Lorena López</t>
        </is>
      </c>
      <c r="C1001" s="12" t="inlineStr">
        <is>
          <t>Terapia ocupacional terapista</t>
        </is>
      </c>
      <c r="D1001" s="12" t="inlineStr">
        <is>
          <t>Terapista ocupacional</t>
        </is>
      </c>
      <c r="E1001" s="22" t="n">
        <v>142</v>
      </c>
      <c r="F1001" s="22" t="n">
        <v>5530</v>
      </c>
      <c r="G1001" s="24" t="inlineStr">
        <is>
          <t>https://guiarsanrafael.com.ar/empresa/lorena-lopez/</t>
        </is>
      </c>
    </row>
    <row r="1002">
      <c r="A1002" s="19" t="n">
        <v>1001</v>
      </c>
      <c r="B1002" s="20" t="inlineStr">
        <is>
          <t>LORENA TELESCA</t>
        </is>
      </c>
      <c r="C1002" s="14" t="inlineStr">
        <is>
          <t>Odontologia</t>
        </is>
      </c>
      <c r="D1002" s="14" t="inlineStr">
        <is>
          <t>Odontologia</t>
        </is>
      </c>
      <c r="E1002" s="19" t="n">
        <v>6</v>
      </c>
      <c r="F1002" s="19" t="n">
        <v>14405</v>
      </c>
      <c r="G1002" s="21" t="inlineStr">
        <is>
          <t>https://guiarsanrafael.com.ar/empresa/lorena-telesca/</t>
        </is>
      </c>
    </row>
    <row r="1003">
      <c r="A1003" s="22" t="n">
        <v>1002</v>
      </c>
      <c r="B1003" s="23" t="inlineStr">
        <is>
          <t>LORENA VEGA</t>
        </is>
      </c>
      <c r="C1003" s="12" t="inlineStr">
        <is>
          <t>Hidroterapia kinesiologia</t>
        </is>
      </c>
      <c r="D1003" s="12" t="inlineStr">
        <is>
          <t>Centro de rehabilitacion</t>
        </is>
      </c>
      <c r="E1003" s="22" t="n">
        <v>96</v>
      </c>
      <c r="F1003" s="22" t="n">
        <v>7607</v>
      </c>
      <c r="G1003" s="24" t="inlineStr">
        <is>
          <t>https://guiarsanrafael.com.ar/empresa/lorena-vega/</t>
        </is>
      </c>
    </row>
    <row r="1004">
      <c r="A1004" s="19" t="n">
        <v>1003</v>
      </c>
      <c r="B1004" s="20" t="inlineStr">
        <is>
          <t>LOS CASCON Pastas Artesanales</t>
        </is>
      </c>
      <c r="C1004" s="14" t="inlineStr">
        <is>
          <t>Casa de comidas rotiseria viandas</t>
        </is>
      </c>
      <c r="D1004" s="14" t="inlineStr">
        <is>
          <t>Casa de comidas</t>
        </is>
      </c>
      <c r="E1004" s="19" t="n">
        <v>31</v>
      </c>
      <c r="F1004" s="19" t="n">
        <v>10987</v>
      </c>
      <c r="G1004" s="21" t="inlineStr">
        <is>
          <t>https://guiarsanrafael.com.ar/empresa/los-cascon-pastas-artesanales/</t>
        </is>
      </c>
    </row>
    <row r="1005">
      <c r="A1005" s="22" t="n">
        <v>1004</v>
      </c>
      <c r="B1005" s="23" t="inlineStr">
        <is>
          <t>LOS FRANCESES</t>
        </is>
      </c>
      <c r="C1005" s="12" t="inlineStr">
        <is>
          <t>Alineacion y balanceo</t>
        </is>
      </c>
      <c r="D1005" s="12" t="inlineStr">
        <is>
          <t>Alineacion y balanceo</t>
        </is>
      </c>
      <c r="E1005" s="22" t="n">
        <v>43</v>
      </c>
      <c r="F1005" s="22" t="n">
        <v>9700</v>
      </c>
      <c r="G1005" s="24" t="inlineStr">
        <is>
          <t>https://guiarsanrafael.com.ar/empresa/los-franceses/</t>
        </is>
      </c>
    </row>
    <row r="1006">
      <c r="A1006" s="19" t="n">
        <v>1005</v>
      </c>
      <c r="B1006" s="20" t="inlineStr">
        <is>
          <t>LOS FRANCESES Neumáticos</t>
        </is>
      </c>
      <c r="C1006" s="14" t="inlineStr">
        <is>
          <t>Neumaticos gomerias</t>
        </is>
      </c>
      <c r="D1006" s="14" t="inlineStr">
        <is>
          <t>Neumaticos gomas</t>
        </is>
      </c>
      <c r="E1006" s="19" t="n">
        <v>38</v>
      </c>
      <c r="F1006" s="19" t="n">
        <v>10215</v>
      </c>
      <c r="G1006" s="21" t="inlineStr">
        <is>
          <t>https://guiarsanrafael.com.ar/empresa/los-franceses-neumaticos/</t>
        </is>
      </c>
    </row>
    <row r="1007">
      <c r="A1007" s="22" t="n">
        <v>1006</v>
      </c>
      <c r="B1007" s="23" t="inlineStr">
        <is>
          <t>LOS MEDANOS Sabor Casero</t>
        </is>
      </c>
      <c r="C1007" s="12" t="inlineStr">
        <is>
          <t>Carnicerias</t>
        </is>
      </c>
      <c r="D1007" s="12" t="inlineStr">
        <is>
          <t>Carniceria</t>
        </is>
      </c>
      <c r="E1007" s="22" t="n">
        <v>126</v>
      </c>
      <c r="F1007" s="22" t="n">
        <v>6571</v>
      </c>
      <c r="G1007" s="24" t="inlineStr">
        <is>
          <t>https://guiarsanrafael.com.ar/empresa/los-medanos-sabor-casero/</t>
        </is>
      </c>
    </row>
    <row r="1008">
      <c r="A1008" s="19" t="n">
        <v>1007</v>
      </c>
      <c r="B1008" s="20" t="inlineStr">
        <is>
          <t>LOS MERINO Pinturería</t>
        </is>
      </c>
      <c r="C1008" s="14" t="inlineStr">
        <is>
          <t>Aislantes impemeabilizantes</t>
        </is>
      </c>
      <c r="D1008" s="14" t="inlineStr">
        <is>
          <t>Aislantes 2</t>
        </is>
      </c>
      <c r="E1008" s="19" t="n">
        <v>168</v>
      </c>
      <c r="F1008" s="19" t="n">
        <v>4709</v>
      </c>
      <c r="G1008" s="21" t="inlineStr">
        <is>
          <t>https://guiarsanrafael.com.ar/empresa/los-merino-pintureria/</t>
        </is>
      </c>
    </row>
    <row r="1009">
      <c r="A1009" s="22" t="n">
        <v>1008</v>
      </c>
      <c r="B1009" s="23" t="inlineStr">
        <is>
          <t>Los Reyes de la Limpieza</t>
        </is>
      </c>
      <c r="C1009" s="12" t="inlineStr">
        <is>
          <t>Articulos de limpieza todo suelto</t>
        </is>
      </c>
      <c r="D1009" s="12" t="inlineStr">
        <is>
          <t>Articulos de limpieza</t>
        </is>
      </c>
      <c r="E1009" s="22" t="n">
        <v>67</v>
      </c>
      <c r="F1009" s="22" t="n">
        <v>8535</v>
      </c>
      <c r="G1009" s="24" t="inlineStr">
        <is>
          <t>https://guiarsanrafael.com.ar/empresa/los-reyes-de-la-limpieza/</t>
        </is>
      </c>
    </row>
    <row r="1010">
      <c r="A1010" s="19" t="n">
        <v>1009</v>
      </c>
      <c r="B1010" s="20" t="inlineStr">
        <is>
          <t>LOS SUREÑOS</t>
        </is>
      </c>
      <c r="C1010" s="14" t="inlineStr">
        <is>
          <t>Carnicerias</t>
        </is>
      </c>
      <c r="D1010" s="14" t="inlineStr">
        <is>
          <t>Carniceria</t>
        </is>
      </c>
      <c r="E1010" s="19" t="n">
        <v>139</v>
      </c>
      <c r="F1010" s="19" t="n">
        <v>5719</v>
      </c>
      <c r="G1010" s="21" t="inlineStr">
        <is>
          <t>https://guiarsanrafael.com.ar/empresa/los-surenos/</t>
        </is>
      </c>
    </row>
    <row r="1011">
      <c r="A1011" s="22" t="n">
        <v>1010</v>
      </c>
      <c r="B1011" s="23" t="inlineStr">
        <is>
          <t>Los Troncos Complejo Turístico</t>
        </is>
      </c>
      <c r="C1011" s="12" t="inlineStr">
        <is>
          <t>Cabanas alquiler</t>
        </is>
      </c>
      <c r="D1011" s="12" t="inlineStr">
        <is>
          <t>Alojamientos</t>
        </is>
      </c>
      <c r="E1011" s="22" t="n">
        <v>91</v>
      </c>
      <c r="F1011" s="22" t="n">
        <v>7858</v>
      </c>
      <c r="G1011" s="24" t="inlineStr">
        <is>
          <t>https://guiarsanrafael.com.ar/empresa/los-troncos-complejo-turistico/</t>
        </is>
      </c>
    </row>
    <row r="1012">
      <c r="A1012" s="19" t="n">
        <v>1011</v>
      </c>
      <c r="B1012" s="20" t="inlineStr">
        <is>
          <t>LOURDES BURZACO</t>
        </is>
      </c>
      <c r="C1012" s="14" t="inlineStr">
        <is>
          <t>Odontologia</t>
        </is>
      </c>
      <c r="D1012" s="14" t="inlineStr">
        <is>
          <t>Odontologia</t>
        </is>
      </c>
      <c r="E1012" s="19" t="n">
        <v>129</v>
      </c>
      <c r="F1012" s="19" t="n">
        <v>6398</v>
      </c>
      <c r="G1012" s="21" t="inlineStr">
        <is>
          <t>https://guiarsanrafael.com.ar/empresa/lourdes-burzaco/</t>
        </is>
      </c>
    </row>
    <row r="1013">
      <c r="A1013" s="22" t="n">
        <v>1012</v>
      </c>
      <c r="B1013" s="23" t="inlineStr">
        <is>
          <t>LOUVRE Enmarcados</t>
        </is>
      </c>
      <c r="C1013" s="12" t="inlineStr">
        <is>
          <t>Marqueteria marcos</t>
        </is>
      </c>
      <c r="D1013" s="12" t="inlineStr">
        <is>
          <t>(sin ubicación)</t>
        </is>
      </c>
      <c r="E1013" s="22" t="n">
        <v>166</v>
      </c>
      <c r="F1013" s="22" t="n">
        <v>4933</v>
      </c>
      <c r="G1013" s="24" t="inlineStr">
        <is>
          <t>https://guiarsanrafael.com.ar/empresa/louvre-enmarcados/</t>
        </is>
      </c>
    </row>
    <row r="1014">
      <c r="A1014" s="19" t="n">
        <v>1013</v>
      </c>
      <c r="B1014" s="20" t="inlineStr">
        <is>
          <t>LOYAL Pets Store</t>
        </is>
      </c>
      <c r="C1014" s="14" t="inlineStr">
        <is>
          <t>Alimentos balanceados</t>
        </is>
      </c>
      <c r="D1014" s="14" t="inlineStr">
        <is>
          <t>Alimentos balanceados</t>
        </is>
      </c>
      <c r="E1014" s="19" t="n">
        <v>39</v>
      </c>
      <c r="F1014" s="19" t="n">
        <v>10160</v>
      </c>
      <c r="G1014" s="21" t="inlineStr">
        <is>
          <t>https://guiarsanrafael.com.ar/empresa/loyal-pets-store/</t>
        </is>
      </c>
    </row>
    <row r="1015">
      <c r="A1015" s="22" t="n">
        <v>1014</v>
      </c>
      <c r="B1015" s="23" t="inlineStr">
        <is>
          <t>LOZANO KEYTECH Cerrajería</t>
        </is>
      </c>
      <c r="C1015" s="12" t="inlineStr">
        <is>
          <t>Cerrajerias</t>
        </is>
      </c>
      <c r="D1015" s="12" t="inlineStr">
        <is>
          <t>Cerrajerias</t>
        </is>
      </c>
      <c r="E1015" s="22" t="n">
        <v>22</v>
      </c>
      <c r="F1015" s="22" t="n">
        <v>12065</v>
      </c>
      <c r="G1015" s="24" t="inlineStr">
        <is>
          <t>https://guiarsanrafael.com.ar/empresa/lozano-keytech-cerrajeria/</t>
        </is>
      </c>
    </row>
    <row r="1016">
      <c r="A1016" s="19" t="n">
        <v>1015</v>
      </c>
      <c r="B1016" s="20" t="inlineStr">
        <is>
          <t>LS Mecánica GNC</t>
        </is>
      </c>
      <c r="C1016" s="14" t="inlineStr">
        <is>
          <t>Mecanica gnc automotor</t>
        </is>
      </c>
      <c r="D1016" s="14" t="inlineStr">
        <is>
          <t>Mecanica del automotor</t>
        </is>
      </c>
      <c r="E1016" s="19" t="n">
        <v>95</v>
      </c>
      <c r="F1016" s="19" t="n">
        <v>7717</v>
      </c>
      <c r="G1016" s="21" t="inlineStr">
        <is>
          <t>https://guiarsanrafael.com.ar/empresa/ls-mecanica-gnc/</t>
        </is>
      </c>
    </row>
    <row r="1017">
      <c r="A1017" s="22" t="n">
        <v>1016</v>
      </c>
      <c r="B1017" s="23" t="inlineStr">
        <is>
          <t>LS NEUMATICOS</t>
        </is>
      </c>
      <c r="C1017" s="12" t="inlineStr">
        <is>
          <t>Alineacion y balanceo</t>
        </is>
      </c>
      <c r="D1017" s="12" t="inlineStr">
        <is>
          <t>Alineacion y balanceo</t>
        </is>
      </c>
      <c r="E1017" s="22" t="n">
        <v>21</v>
      </c>
      <c r="F1017" s="22" t="n">
        <v>12103</v>
      </c>
      <c r="G1017" s="24" t="inlineStr">
        <is>
          <t>https://guiarsanrafael.com.ar/empresa/ls-neumaticos/</t>
        </is>
      </c>
    </row>
    <row r="1018">
      <c r="A1018" s="19" t="n">
        <v>1017</v>
      </c>
      <c r="B1018" s="20" t="inlineStr">
        <is>
          <t>Lubri Del Centro</t>
        </is>
      </c>
      <c r="C1018" s="14" t="inlineStr">
        <is>
          <t>Lubricantes aceites lubricentro</t>
        </is>
      </c>
      <c r="D1018" s="14" t="inlineStr">
        <is>
          <t>Lubricantes</t>
        </is>
      </c>
      <c r="E1018" s="19" t="n">
        <v>48</v>
      </c>
      <c r="F1018" s="19" t="n">
        <v>9369</v>
      </c>
      <c r="G1018" s="21" t="inlineStr">
        <is>
          <t>https://guiarsanrafael.com.ar/empresa/lubri-del-centro/</t>
        </is>
      </c>
    </row>
    <row r="1019">
      <c r="A1019" s="22" t="n">
        <v>1018</v>
      </c>
      <c r="B1019" s="23" t="inlineStr">
        <is>
          <t>Lubricentro 15w40</t>
        </is>
      </c>
      <c r="C1019" s="12" t="inlineStr">
        <is>
          <t>Lubricantes aceites lubricentro</t>
        </is>
      </c>
      <c r="D1019" s="12" t="inlineStr">
        <is>
          <t>Lubricantes</t>
        </is>
      </c>
      <c r="E1019" s="22" t="n">
        <v>50</v>
      </c>
      <c r="F1019" s="22" t="n">
        <v>9365</v>
      </c>
      <c r="G1019" s="24" t="inlineStr">
        <is>
          <t>https://guiarsanrafael.com.ar/empresa/lubricentro-15w40/</t>
        </is>
      </c>
    </row>
    <row r="1020">
      <c r="A1020" s="19" t="n">
        <v>1019</v>
      </c>
      <c r="B1020" s="20" t="inlineStr">
        <is>
          <t>LUBRICENTRO AGUIRRE</t>
        </is>
      </c>
      <c r="C1020" s="14" t="inlineStr">
        <is>
          <t>Lubricantes aceites lubricentro</t>
        </is>
      </c>
      <c r="D1020" s="14" t="inlineStr">
        <is>
          <t>Accesorios del automotor</t>
        </is>
      </c>
      <c r="E1020" s="19" t="n">
        <v>49</v>
      </c>
      <c r="F1020" s="19" t="n">
        <v>9371</v>
      </c>
      <c r="G1020" s="21" t="inlineStr">
        <is>
          <t>https://guiarsanrafael.com.ar/empresa/lubricentro-aguirre/</t>
        </is>
      </c>
    </row>
    <row r="1021">
      <c r="A1021" s="22" t="n">
        <v>1020</v>
      </c>
      <c r="B1021" s="23" t="inlineStr">
        <is>
          <t>Lubricentro Baja un Cambio</t>
        </is>
      </c>
      <c r="C1021" s="12" t="inlineStr">
        <is>
          <t>Lubricantes aceites lubricentro</t>
        </is>
      </c>
      <c r="D1021" s="12" t="inlineStr">
        <is>
          <t>Lubricantes</t>
        </is>
      </c>
      <c r="E1021" s="22" t="n">
        <v>50</v>
      </c>
      <c r="F1021" s="22" t="n">
        <v>9360</v>
      </c>
      <c r="G1021" s="24" t="inlineStr">
        <is>
          <t>https://guiarsanrafael.com.ar/empresa/lubricentro-baja-un-cambio/</t>
        </is>
      </c>
    </row>
    <row r="1022">
      <c r="A1022" s="19" t="n">
        <v>1021</v>
      </c>
      <c r="B1022" s="20" t="inlineStr">
        <is>
          <t>Lubricentro CLASE 1</t>
        </is>
      </c>
      <c r="C1022" s="14" t="inlineStr">
        <is>
          <t>Lubricantes aceites lubricentro</t>
        </is>
      </c>
      <c r="D1022" s="14" t="inlineStr">
        <is>
          <t>Lubricantes</t>
        </is>
      </c>
      <c r="E1022" s="19" t="n">
        <v>49</v>
      </c>
      <c r="F1022" s="19" t="n">
        <v>9351</v>
      </c>
      <c r="G1022" s="21" t="inlineStr">
        <is>
          <t>https://guiarsanrafael.com.ar/empresa/lubricentro-clase-1/</t>
        </is>
      </c>
    </row>
    <row r="1023">
      <c r="A1023" s="22" t="n">
        <v>1022</v>
      </c>
      <c r="B1023" s="23" t="inlineStr">
        <is>
          <t>LUBRICENTRO FUENTES</t>
        </is>
      </c>
      <c r="C1023" s="12" t="inlineStr">
        <is>
          <t>Lubricantes aceites lubricentro</t>
        </is>
      </c>
      <c r="D1023" s="12" t="inlineStr">
        <is>
          <t>Lubricantes</t>
        </is>
      </c>
      <c r="E1023" s="22" t="n">
        <v>48</v>
      </c>
      <c r="F1023" s="22" t="n">
        <v>9368</v>
      </c>
      <c r="G1023" s="24" t="inlineStr">
        <is>
          <t>https://guiarsanrafael.com.ar/empresa/lubricentro-fuentes/</t>
        </is>
      </c>
    </row>
    <row r="1024">
      <c r="A1024" s="19" t="n">
        <v>1023</v>
      </c>
      <c r="B1024" s="20" t="inlineStr">
        <is>
          <t>Lubricentro Italo</t>
        </is>
      </c>
      <c r="C1024" s="14" t="inlineStr">
        <is>
          <t>Lubricantes aceites lubricentro</t>
        </is>
      </c>
      <c r="D1024" s="14" t="inlineStr">
        <is>
          <t>Lubricantes</t>
        </is>
      </c>
      <c r="E1024" s="19" t="n">
        <v>48</v>
      </c>
      <c r="F1024" s="19" t="n">
        <v>9367</v>
      </c>
      <c r="G1024" s="21" t="inlineStr">
        <is>
          <t>https://guiarsanrafael.com.ar/empresa/lubricentro-italo/</t>
        </is>
      </c>
    </row>
    <row r="1025">
      <c r="A1025" s="22" t="n">
        <v>1024</v>
      </c>
      <c r="B1025" s="23" t="inlineStr">
        <is>
          <t>Lubricentro Lujan</t>
        </is>
      </c>
      <c r="C1025" s="12" t="inlineStr">
        <is>
          <t>Lubricantes aceites lubricentro</t>
        </is>
      </c>
      <c r="D1025" s="12" t="inlineStr">
        <is>
          <t>Lubricantes</t>
        </is>
      </c>
      <c r="E1025" s="22" t="n">
        <v>49</v>
      </c>
      <c r="F1025" s="22" t="n">
        <v>9357</v>
      </c>
      <c r="G1025" s="24" t="inlineStr">
        <is>
          <t>https://guiarsanrafael.com.ar/empresa/lubricentro-lujan/</t>
        </is>
      </c>
    </row>
    <row r="1026">
      <c r="A1026" s="19" t="n">
        <v>1025</v>
      </c>
      <c r="B1026" s="20" t="inlineStr">
        <is>
          <t>Lubricentro San Expedito</t>
        </is>
      </c>
      <c r="C1026" s="14" t="inlineStr">
        <is>
          <t>Lubricantes aceites lubricentro</t>
        </is>
      </c>
      <c r="D1026" s="14" t="inlineStr">
        <is>
          <t>Lubricantes</t>
        </is>
      </c>
      <c r="E1026" s="19" t="n">
        <v>49</v>
      </c>
      <c r="F1026" s="19" t="n">
        <v>9355</v>
      </c>
      <c r="G1026" s="21" t="inlineStr">
        <is>
          <t>https://guiarsanrafael.com.ar/empresa/lubricentro-san-expedito/</t>
        </is>
      </c>
    </row>
    <row r="1027">
      <c r="A1027" s="22" t="n">
        <v>1026</v>
      </c>
      <c r="B1027" s="23" t="inlineStr">
        <is>
          <t>Lubricentro San Martín</t>
        </is>
      </c>
      <c r="C1027" s="12" t="inlineStr">
        <is>
          <t>Lubricantes aceites lubricentro</t>
        </is>
      </c>
      <c r="D1027" s="12" t="inlineStr">
        <is>
          <t>Lubricantes</t>
        </is>
      </c>
      <c r="E1027" s="22" t="n">
        <v>48</v>
      </c>
      <c r="F1027" s="22" t="n">
        <v>9380</v>
      </c>
      <c r="G1027" s="24" t="inlineStr">
        <is>
          <t>https://guiarsanrafael.com.ar/empresa/lubricentro-san-martin/</t>
        </is>
      </c>
    </row>
    <row r="1028">
      <c r="A1028" s="19" t="n">
        <v>1027</v>
      </c>
      <c r="B1028" s="20" t="inlineStr">
        <is>
          <t>LUBRISERVICE</t>
        </is>
      </c>
      <c r="C1028" s="14" t="inlineStr">
        <is>
          <t>Lubricantes aceites lubricentro</t>
        </is>
      </c>
      <c r="D1028" s="14" t="inlineStr">
        <is>
          <t>Lubricantes</t>
        </is>
      </c>
      <c r="E1028" s="19" t="n">
        <v>182</v>
      </c>
      <c r="F1028" s="19" t="n">
        <v>6730</v>
      </c>
      <c r="G1028" s="21" t="inlineStr">
        <is>
          <t>https://guiarsanrafael.com.ar/empresa/lubriservice/</t>
        </is>
      </c>
    </row>
    <row r="1029">
      <c r="A1029" s="22" t="n">
        <v>1028</v>
      </c>
      <c r="B1029" s="23" t="inlineStr">
        <is>
          <t>LUCAS BERNAOLA Car Paint</t>
        </is>
      </c>
      <c r="C1029" s="12" t="inlineStr">
        <is>
          <t>Pintura del automotor taller</t>
        </is>
      </c>
      <c r="D1029" s="12" t="inlineStr">
        <is>
          <t>Pintura del automotor</t>
        </is>
      </c>
      <c r="E1029" s="22" t="n">
        <v>28</v>
      </c>
      <c r="F1029" s="22" t="n">
        <v>11265</v>
      </c>
      <c r="G1029" s="24" t="inlineStr">
        <is>
          <t>https://guiarsanrafael.com.ar/empresa/lucas-bernaola-car-paint/</t>
        </is>
      </c>
    </row>
    <row r="1030">
      <c r="A1030" s="19" t="n">
        <v>1029</v>
      </c>
      <c r="B1030" s="20" t="inlineStr">
        <is>
          <t>LUCAS JULIAN FLORES</t>
        </is>
      </c>
      <c r="C1030" s="14" t="inlineStr">
        <is>
          <t>Odontologia</t>
        </is>
      </c>
      <c r="D1030" s="14" t="inlineStr">
        <is>
          <t>Odontologia</t>
        </is>
      </c>
      <c r="E1030" s="19" t="n">
        <v>3</v>
      </c>
      <c r="F1030" s="19" t="n">
        <v>14864</v>
      </c>
      <c r="G1030" s="21" t="inlineStr">
        <is>
          <t>https://guiarsanrafael.com.ar/empresa/lucas-julian-flores/</t>
        </is>
      </c>
    </row>
    <row r="1031">
      <c r="A1031" s="22" t="n">
        <v>1030</v>
      </c>
      <c r="B1031" s="23" t="inlineStr">
        <is>
          <t>Lucas Lubricantes</t>
        </is>
      </c>
      <c r="C1031" s="12" t="inlineStr">
        <is>
          <t>Lubricantes aceites lubricentro</t>
        </is>
      </c>
      <c r="D1031" s="12" t="inlineStr">
        <is>
          <t>Lubricantes</t>
        </is>
      </c>
      <c r="E1031" s="22" t="n">
        <v>50</v>
      </c>
      <c r="F1031" s="22" t="n">
        <v>9359</v>
      </c>
      <c r="G1031" s="24" t="inlineStr">
        <is>
          <t>https://guiarsanrafael.com.ar/empresa/lucas-lubricantes/</t>
        </is>
      </c>
    </row>
    <row r="1032">
      <c r="A1032" s="19" t="n">
        <v>1031</v>
      </c>
      <c r="B1032" s="20" t="inlineStr">
        <is>
          <t>Lucca  Natalia</t>
        </is>
      </c>
      <c r="C1032" s="14" t="inlineStr">
        <is>
          <t>Terapia del lenguaje terapista</t>
        </is>
      </c>
      <c r="D1032" s="14" t="inlineStr">
        <is>
          <t>Terapia del lenguaje</t>
        </is>
      </c>
      <c r="E1032" s="19" t="n">
        <v>143</v>
      </c>
      <c r="F1032" s="19" t="n">
        <v>5528</v>
      </c>
      <c r="G1032" s="21" t="inlineStr">
        <is>
          <t>https://guiarsanrafael.com.ar/empresa/lucca-natalia/</t>
        </is>
      </c>
    </row>
    <row r="1033">
      <c r="A1033" s="22" t="n">
        <v>1032</v>
      </c>
      <c r="B1033" s="23" t="inlineStr">
        <is>
          <t>LUCIA RUBIO DUCA</t>
        </is>
      </c>
      <c r="C1033" s="12" t="inlineStr">
        <is>
          <t>Diagnostico por imagenes ecografia mamografias</t>
        </is>
      </c>
      <c r="D1033" s="12" t="inlineStr">
        <is>
          <t>Diagnostico por imagenes</t>
        </is>
      </c>
      <c r="E1033" s="22" t="n">
        <v>171</v>
      </c>
      <c r="F1033" s="22" t="n">
        <v>4412</v>
      </c>
      <c r="G1033" s="24" t="inlineStr">
        <is>
          <t>https://guiarsanrafael.com.ar/empresa/lucia-rubio-duca/</t>
        </is>
      </c>
    </row>
    <row r="1034">
      <c r="A1034" s="19" t="n">
        <v>1033</v>
      </c>
      <c r="B1034" s="20" t="inlineStr">
        <is>
          <t>LUCIANA ANTONELLA GRASSI</t>
        </is>
      </c>
      <c r="C1034" s="14" t="inlineStr">
        <is>
          <t>Clinica medica</t>
        </is>
      </c>
      <c r="D1034" s="14" t="inlineStr">
        <is>
          <t>Clinica medica</t>
        </is>
      </c>
      <c r="E1034" s="19" t="n">
        <v>131</v>
      </c>
      <c r="F1034" s="19" t="n">
        <v>6265</v>
      </c>
      <c r="G1034" s="21" t="inlineStr">
        <is>
          <t>https://guiarsanrafael.com.ar/empresa/luciana-antonella-grassi/</t>
        </is>
      </c>
    </row>
    <row r="1035">
      <c r="A1035" s="22" t="n">
        <v>1034</v>
      </c>
      <c r="B1035" s="23" t="inlineStr">
        <is>
          <t>Luciana González</t>
        </is>
      </c>
      <c r="C1035" s="12" t="inlineStr">
        <is>
          <t>Clinica del lenguaje</t>
        </is>
      </c>
      <c r="D1035" s="12" t="inlineStr">
        <is>
          <t>Clinica del lenguaje</t>
        </is>
      </c>
      <c r="E1035" s="22" t="n">
        <v>157</v>
      </c>
      <c r="F1035" s="22" t="n">
        <v>5312</v>
      </c>
      <c r="G1035" s="24" t="inlineStr">
        <is>
          <t>https://guiarsanrafael.com.ar/empresa/luciana-gonzalez/</t>
        </is>
      </c>
    </row>
    <row r="1036">
      <c r="A1036" s="19" t="n">
        <v>1035</v>
      </c>
      <c r="B1036" s="20" t="inlineStr">
        <is>
          <t>LUCIANA NARDELLI</t>
        </is>
      </c>
      <c r="C1036" s="14" t="inlineStr">
        <is>
          <t>Centro de estetica</t>
        </is>
      </c>
      <c r="D1036" s="14" t="inlineStr">
        <is>
          <t>Centro de estetica</t>
        </is>
      </c>
      <c r="E1036" s="19" t="n">
        <v>98</v>
      </c>
      <c r="F1036" s="19" t="n">
        <v>7523</v>
      </c>
      <c r="G1036" s="21" t="inlineStr">
        <is>
          <t>https://guiarsanrafael.com.ar/empresa/luciana-nardelli/</t>
        </is>
      </c>
    </row>
    <row r="1037">
      <c r="A1037" s="22" t="n">
        <v>1036</v>
      </c>
      <c r="B1037" s="23" t="inlineStr">
        <is>
          <t>Lucía Caride</t>
        </is>
      </c>
      <c r="C1037" s="12" t="inlineStr">
        <is>
          <t>Kinesiologia y fisioterapia</t>
        </is>
      </c>
      <c r="D1037" s="12" t="inlineStr">
        <is>
          <t>Kinesiologia y fisioterapia</t>
        </is>
      </c>
      <c r="E1037" s="22" t="n">
        <v>151</v>
      </c>
      <c r="F1037" s="22" t="n">
        <v>5404</v>
      </c>
      <c r="G1037" s="24" t="inlineStr">
        <is>
          <t>https://guiarsanrafael.com.ar/empresa/lucia-caride/</t>
        </is>
      </c>
    </row>
    <row r="1038">
      <c r="A1038" s="19" t="n">
        <v>1037</v>
      </c>
      <c r="B1038" s="20" t="inlineStr">
        <is>
          <t>Lucía Fuzs</t>
        </is>
      </c>
      <c r="C1038" s="14" t="inlineStr">
        <is>
          <t>Endocrinologia</t>
        </is>
      </c>
      <c r="D1038" s="14" t="inlineStr">
        <is>
          <t>Endocrinologia</t>
        </is>
      </c>
      <c r="E1038" s="19" t="n">
        <v>158</v>
      </c>
      <c r="F1038" s="19" t="n">
        <v>5299</v>
      </c>
      <c r="G1038" s="21" t="inlineStr">
        <is>
          <t>https://guiarsanrafael.com.ar/empresa/lucia-fuzs/</t>
        </is>
      </c>
    </row>
    <row r="1039">
      <c r="A1039" s="22" t="n">
        <v>1038</v>
      </c>
      <c r="B1039" s="23" t="inlineStr">
        <is>
          <t>LUIS MERINO</t>
        </is>
      </c>
      <c r="C1039" s="12" t="inlineStr">
        <is>
          <t>Abogados abogadas estudios juridicos</t>
        </is>
      </c>
      <c r="D1039" s="12" t="inlineStr">
        <is>
          <t>Abogados</t>
        </is>
      </c>
      <c r="E1039" s="22" t="n">
        <v>19</v>
      </c>
      <c r="F1039" s="22" t="n">
        <v>12397</v>
      </c>
      <c r="G1039" s="24" t="inlineStr">
        <is>
          <t>https://guiarsanrafael.com.ar/empresa/luis-merino/</t>
        </is>
      </c>
    </row>
    <row r="1040">
      <c r="A1040" s="19" t="n">
        <v>1039</v>
      </c>
      <c r="B1040" s="20" t="inlineStr">
        <is>
          <t>Luis Nicora Fernández</t>
        </is>
      </c>
      <c r="C1040" s="14" t="inlineStr">
        <is>
          <t>Medicina legal</t>
        </is>
      </c>
      <c r="D1040" s="14" t="inlineStr">
        <is>
          <t>Medicina general</t>
        </is>
      </c>
      <c r="E1040" s="19" t="n">
        <v>150</v>
      </c>
      <c r="F1040" s="19" t="n">
        <v>5412</v>
      </c>
      <c r="G1040" s="21" t="inlineStr">
        <is>
          <t>https://guiarsanrafael.com.ar/empresa/luis-nicora-fernandez/</t>
        </is>
      </c>
    </row>
    <row r="1041">
      <c r="A1041" s="22" t="n">
        <v>1040</v>
      </c>
      <c r="B1041" s="23" t="inlineStr">
        <is>
          <t>LUJOS LIBRERIAS</t>
        </is>
      </c>
      <c r="C1041" s="12" t="inlineStr">
        <is>
          <t>Artistica</t>
        </is>
      </c>
      <c r="D1041" s="12" t="inlineStr">
        <is>
          <t>Artisticas</t>
        </is>
      </c>
      <c r="E1041" s="22" t="n">
        <v>58</v>
      </c>
      <c r="F1041" s="22" t="n">
        <v>8976</v>
      </c>
      <c r="G1041" s="24" t="inlineStr">
        <is>
          <t>https://guiarsanrafael.com.ar/empresa/lujos-librerias/</t>
        </is>
      </c>
    </row>
    <row r="1042">
      <c r="A1042" s="19" t="n">
        <v>1041</v>
      </c>
      <c r="B1042" s="20" t="inlineStr">
        <is>
          <t>LUJOS LIBRERIAS 3</t>
        </is>
      </c>
      <c r="C1042" s="14" t="inlineStr">
        <is>
          <t>Artistica</t>
        </is>
      </c>
      <c r="D1042" s="14" t="inlineStr">
        <is>
          <t>Artisticas</t>
        </is>
      </c>
      <c r="E1042" s="19" t="n">
        <v>58</v>
      </c>
      <c r="F1042" s="19" t="n">
        <v>8975</v>
      </c>
      <c r="G1042" s="21" t="inlineStr">
        <is>
          <t>https://guiarsanrafael.com.ar/empresa/lujos-librerias-3/</t>
        </is>
      </c>
    </row>
    <row r="1043">
      <c r="A1043" s="22" t="n">
        <v>1042</v>
      </c>
      <c r="B1043" s="23" t="inlineStr">
        <is>
          <t>LUNA SERENA Holistica Deco &amp; Home</t>
        </is>
      </c>
      <c r="C1043" s="12" t="inlineStr">
        <is>
          <t>Tienda holistica</t>
        </is>
      </c>
      <c r="D1043" s="12" t="inlineStr">
        <is>
          <t>Tienda holistica</t>
        </is>
      </c>
      <c r="E1043" s="22" t="n">
        <v>30</v>
      </c>
      <c r="F1043" s="22" t="n">
        <v>11002</v>
      </c>
      <c r="G1043" s="24" t="inlineStr">
        <is>
          <t>https://guiarsanrafael.com.ar/empresa/luna-serena-holistica-deco-home/</t>
        </is>
      </c>
    </row>
    <row r="1044">
      <c r="A1044" s="19" t="n">
        <v>1043</v>
      </c>
      <c r="B1044" s="20" t="inlineStr">
        <is>
          <t>Lupo Agostina Vivian</t>
        </is>
      </c>
      <c r="C1044" s="14" t="inlineStr">
        <is>
          <t>Abogados abogadas estudios juridicos</t>
        </is>
      </c>
      <c r="D1044" s="14" t="inlineStr">
        <is>
          <t>Abogadas</t>
        </is>
      </c>
      <c r="E1044" s="19" t="n">
        <v>114</v>
      </c>
      <c r="F1044" s="19" t="n">
        <v>7181</v>
      </c>
      <c r="G1044" s="21" t="inlineStr">
        <is>
          <t>https://guiarsanrafael.com.ar/empresa/lupo-agostina-vivian/</t>
        </is>
      </c>
    </row>
    <row r="1045">
      <c r="A1045" s="22" t="n">
        <v>1044</v>
      </c>
      <c r="B1045" s="23" t="inlineStr">
        <is>
          <t>LÓPEZ DE DIAZ Valeria</t>
        </is>
      </c>
      <c r="C1045" s="12" t="inlineStr">
        <is>
          <t>Escribanias escribanos escribanas mandatario mandataria notarios notarias</t>
        </is>
      </c>
      <c r="D1045" s="12" t="inlineStr">
        <is>
          <t>Escribanas</t>
        </is>
      </c>
      <c r="E1045" s="22" t="n">
        <v>82</v>
      </c>
      <c r="F1045" s="22" t="n">
        <v>8195</v>
      </c>
      <c r="G1045" s="24" t="inlineStr">
        <is>
          <t>https://guiarsanrafael.com.ar/empresa/lopez-de-diaz-valeria/</t>
        </is>
      </c>
    </row>
    <row r="1046">
      <c r="A1046" s="19" t="n">
        <v>1045</v>
      </c>
      <c r="B1046" s="20" t="inlineStr">
        <is>
          <t>López Rita Mariana</t>
        </is>
      </c>
      <c r="C1046" s="14" t="inlineStr">
        <is>
          <t>Abogados abogadas estudios juridicos</t>
        </is>
      </c>
      <c r="D1046" s="14" t="inlineStr">
        <is>
          <t>Abogadas</t>
        </is>
      </c>
      <c r="E1046" s="19" t="n">
        <v>110</v>
      </c>
      <c r="F1046" s="19" t="n">
        <v>7220</v>
      </c>
      <c r="G1046" s="21" t="inlineStr">
        <is>
          <t>https://guiarsanrafael.com.ar/empresa/lopez-rita-mariana/</t>
        </is>
      </c>
    </row>
    <row r="1047">
      <c r="A1047" s="22" t="n">
        <v>1046</v>
      </c>
      <c r="B1047" s="23" t="inlineStr">
        <is>
          <t>L’Obrador</t>
        </is>
      </c>
      <c r="C1047" s="12" t="inlineStr">
        <is>
          <t>Restaurantes parrilas</t>
        </is>
      </c>
      <c r="D1047" s="12" t="inlineStr">
        <is>
          <t>Restaurantes</t>
        </is>
      </c>
      <c r="E1047" s="22" t="n">
        <v>181</v>
      </c>
      <c r="F1047" s="22" t="n">
        <v>10266</v>
      </c>
      <c r="G1047" s="24" t="inlineStr">
        <is>
          <t>https://guiarsanrafael.com.ar/empresa/lobrador/</t>
        </is>
      </c>
    </row>
    <row r="1048">
      <c r="A1048" s="19" t="n">
        <v>1047</v>
      </c>
      <c r="B1048" s="20" t="inlineStr">
        <is>
          <t>M y J Cortinas &amp; Diseño</t>
        </is>
      </c>
      <c r="C1048" s="14" t="inlineStr">
        <is>
          <t>Cortinados</t>
        </is>
      </c>
      <c r="D1048" s="14" t="inlineStr">
        <is>
          <t>Cortinados</t>
        </is>
      </c>
      <c r="E1048" s="19" t="n">
        <v>137</v>
      </c>
      <c r="F1048" s="19" t="n">
        <v>5901</v>
      </c>
      <c r="G1048" s="21" t="inlineStr">
        <is>
          <t>https://guiarsanrafael.com.ar/empresa/m-y-j-cortinas-diseno/</t>
        </is>
      </c>
    </row>
    <row r="1049">
      <c r="A1049" s="22" t="n">
        <v>1048</v>
      </c>
      <c r="B1049" s="23" t="inlineStr">
        <is>
          <t>M y M Estudio Jurídico</t>
        </is>
      </c>
      <c r="C1049" s="12" t="inlineStr">
        <is>
          <t>Abogados abogadas estudios juridicos</t>
        </is>
      </c>
      <c r="D1049" s="12" t="inlineStr">
        <is>
          <t>Abogados</t>
        </is>
      </c>
      <c r="E1049" s="22" t="n">
        <v>19</v>
      </c>
      <c r="F1049" s="22" t="n">
        <v>12395</v>
      </c>
      <c r="G1049" s="24" t="inlineStr">
        <is>
          <t>https://guiarsanrafael.com.ar/empresa/m-y-m-estudio-juridico/</t>
        </is>
      </c>
    </row>
    <row r="1050">
      <c r="A1050" s="19" t="n">
        <v>1049</v>
      </c>
      <c r="B1050" s="20" t="inlineStr">
        <is>
          <t>M. LOURDES PEREZ</t>
        </is>
      </c>
      <c r="C1050" s="14" t="inlineStr">
        <is>
          <t>Productor de seguros</t>
        </is>
      </c>
      <c r="D1050" s="14" t="inlineStr">
        <is>
          <t>Productor de seguros</t>
        </is>
      </c>
      <c r="E1050" s="19" t="n">
        <v>57</v>
      </c>
      <c r="F1050" s="19" t="n">
        <v>9040</v>
      </c>
      <c r="G1050" s="21" t="inlineStr">
        <is>
          <t>https://guiarsanrafael.com.ar/empresa/m-lourdes-perez/</t>
        </is>
      </c>
    </row>
    <row r="1051">
      <c r="A1051" s="22" t="n">
        <v>1050</v>
      </c>
      <c r="B1051" s="23" t="inlineStr">
        <is>
          <t>M. PAULA FRANCESCINI La Segunda</t>
        </is>
      </c>
      <c r="C1051" s="12" t="inlineStr">
        <is>
          <t>Productor de seguros</t>
        </is>
      </c>
      <c r="D1051" s="12" t="inlineStr">
        <is>
          <t>Productor de seguros</t>
        </is>
      </c>
      <c r="E1051" s="22" t="n">
        <v>25</v>
      </c>
      <c r="F1051" s="22" t="n">
        <v>11712</v>
      </c>
      <c r="G1051" s="24" t="inlineStr">
        <is>
          <t>https://guiarsanrafael.com.ar/empresa/m-paula-francescini-la-segunda/</t>
        </is>
      </c>
    </row>
    <row r="1052">
      <c r="A1052" s="19" t="n">
        <v>1051</v>
      </c>
      <c r="B1052" s="20" t="inlineStr">
        <is>
          <t>MACARENA CARRETERO</t>
        </is>
      </c>
      <c r="C1052" s="14" t="inlineStr">
        <is>
          <t>Abogados abogadas estudios juridicos</t>
        </is>
      </c>
      <c r="D1052" s="14" t="inlineStr">
        <is>
          <t>Abogadas</t>
        </is>
      </c>
      <c r="E1052" s="19" t="n">
        <v>77</v>
      </c>
      <c r="F1052" s="19" t="n">
        <v>8289</v>
      </c>
      <c r="G1052" s="21" t="inlineStr">
        <is>
          <t>https://guiarsanrafael.com.ar/empresa/macarena-carretero/</t>
        </is>
      </c>
    </row>
    <row r="1053">
      <c r="A1053" s="22" t="n">
        <v>1052</v>
      </c>
      <c r="B1053" s="23" t="inlineStr">
        <is>
          <t>Macarena Conforti</t>
        </is>
      </c>
      <c r="C1053" s="12" t="inlineStr">
        <is>
          <t>Kinesiologia y fisioterapia</t>
        </is>
      </c>
      <c r="D1053" s="12" t="inlineStr">
        <is>
          <t>Kinesiologia y fisioterapia</t>
        </is>
      </c>
      <c r="E1053" s="22" t="n">
        <v>153</v>
      </c>
      <c r="F1053" s="22" t="n">
        <v>5383</v>
      </c>
      <c r="G1053" s="24" t="inlineStr">
        <is>
          <t>https://guiarsanrafael.com.ar/empresa/macarena-conforti/</t>
        </is>
      </c>
    </row>
    <row r="1054">
      <c r="A1054" s="19" t="n">
        <v>1053</v>
      </c>
      <c r="B1054" s="20" t="inlineStr">
        <is>
          <t>MACARENA PEREZ</t>
        </is>
      </c>
      <c r="C1054" s="14" t="inlineStr">
        <is>
          <t>Clinica medica</t>
        </is>
      </c>
      <c r="D1054" s="14" t="inlineStr">
        <is>
          <t>Clinica medica</t>
        </is>
      </c>
      <c r="E1054" s="19" t="n">
        <v>159</v>
      </c>
      <c r="F1054" s="19" t="n">
        <v>5288</v>
      </c>
      <c r="G1054" s="21" t="inlineStr">
        <is>
          <t>https://guiarsanrafael.com.ar/empresa/macarena-perez/</t>
        </is>
      </c>
    </row>
    <row r="1055">
      <c r="A1055" s="22" t="n">
        <v>1054</v>
      </c>
      <c r="B1055" s="23" t="inlineStr">
        <is>
          <t>MADER DUK Mueblería Deco y Diseño</t>
        </is>
      </c>
      <c r="C1055" s="12" t="inlineStr">
        <is>
          <t>Amoblamientos</t>
        </is>
      </c>
      <c r="D1055" s="12" t="inlineStr">
        <is>
          <t>Amoblamientos</t>
        </is>
      </c>
      <c r="E1055" s="22" t="n">
        <v>22</v>
      </c>
      <c r="F1055" s="22" t="n">
        <v>12046</v>
      </c>
      <c r="G1055" s="24" t="inlineStr">
        <is>
          <t>https://guiarsanrafael.com.ar/empresa/mader-duck-muebleria-deco-y-diseno/</t>
        </is>
      </c>
    </row>
    <row r="1056">
      <c r="A1056" s="19" t="n">
        <v>1055</v>
      </c>
      <c r="B1056" s="20" t="inlineStr">
        <is>
          <t>MADERERA COCO´S</t>
        </is>
      </c>
      <c r="C1056" s="14" t="inlineStr">
        <is>
          <t>Aislantes impemeabilizantes</t>
        </is>
      </c>
      <c r="D1056" s="14" t="inlineStr">
        <is>
          <t>Aislantes 2</t>
        </is>
      </c>
      <c r="E1056" s="19" t="n">
        <v>42</v>
      </c>
      <c r="F1056" s="19" t="n">
        <v>9871</v>
      </c>
      <c r="G1056" s="21" t="inlineStr">
        <is>
          <t>https://guiarsanrafael.com.ar/empresa/maderera-cocos/</t>
        </is>
      </c>
    </row>
    <row r="1057">
      <c r="A1057" s="22" t="n">
        <v>1056</v>
      </c>
      <c r="B1057" s="23" t="inlineStr">
        <is>
          <t>MADERO Barber Shop</t>
        </is>
      </c>
      <c r="C1057" s="12" t="inlineStr">
        <is>
          <t>Barberias peluqueria barberos</t>
        </is>
      </c>
      <c r="D1057" s="12" t="inlineStr">
        <is>
          <t>Barberias</t>
        </is>
      </c>
      <c r="E1057" s="22" t="n">
        <v>28</v>
      </c>
      <c r="F1057" s="22" t="n">
        <v>11257</v>
      </c>
      <c r="G1057" s="24" t="inlineStr">
        <is>
          <t>https://guiarsanrafael.com.ar/empresa/madero-barber-shop/</t>
        </is>
      </c>
    </row>
    <row r="1058">
      <c r="A1058" s="19" t="n">
        <v>1057</v>
      </c>
      <c r="B1058" s="20" t="inlineStr">
        <is>
          <t>MAFALDA Insumos para Peluquerías</t>
        </is>
      </c>
      <c r="C1058" s="14" t="inlineStr">
        <is>
          <t>Cosmetica cosmetologia cosmetologa cosmiatra</t>
        </is>
      </c>
      <c r="D1058" s="14" t="inlineStr">
        <is>
          <t>Cosmetica perfumeria</t>
        </is>
      </c>
      <c r="E1058" s="19" t="n">
        <v>40</v>
      </c>
      <c r="F1058" s="19" t="n">
        <v>10088</v>
      </c>
      <c r="G1058" s="21" t="inlineStr">
        <is>
          <t>https://guiarsanrafael.com.ar/empresa/mafalda-insumos-para-peluquerias/</t>
        </is>
      </c>
    </row>
    <row r="1059">
      <c r="A1059" s="22" t="n">
        <v>1058</v>
      </c>
      <c r="B1059" s="23" t="inlineStr">
        <is>
          <t>MAGGI Maria Eugenia</t>
        </is>
      </c>
      <c r="C1059" s="12" t="inlineStr">
        <is>
          <t>Escribanias escribanos escribanas mandatario mandataria notarios notarias</t>
        </is>
      </c>
      <c r="D1059" s="12" t="inlineStr">
        <is>
          <t>Escribanas</t>
        </is>
      </c>
      <c r="E1059" s="22" t="n">
        <v>82</v>
      </c>
      <c r="F1059" s="22" t="n">
        <v>8196</v>
      </c>
      <c r="G1059" s="24" t="inlineStr">
        <is>
          <t>https://guiarsanrafael.com.ar/empresa/maggi-maria-eugenia/</t>
        </is>
      </c>
    </row>
    <row r="1060">
      <c r="A1060" s="19" t="n">
        <v>1059</v>
      </c>
      <c r="B1060" s="20" t="inlineStr">
        <is>
          <t>MAGNOLIA Moda Circular</t>
        </is>
      </c>
      <c r="C1060" s="14" t="inlineStr">
        <is>
          <t>Indumentaria</t>
        </is>
      </c>
      <c r="D1060" s="14" t="inlineStr">
        <is>
          <t>Indumentaria</t>
        </is>
      </c>
      <c r="E1060" s="19" t="n">
        <v>23</v>
      </c>
      <c r="F1060" s="19" t="n">
        <v>11942</v>
      </c>
      <c r="G1060" s="21" t="inlineStr">
        <is>
          <t>https://guiarsanrafael.com.ar/empresa/magnolia-moda-circular/</t>
        </is>
      </c>
    </row>
    <row r="1061">
      <c r="A1061" s="22" t="n">
        <v>1060</v>
      </c>
      <c r="B1061" s="23" t="inlineStr">
        <is>
          <t>MAHAL SUSHI</t>
        </is>
      </c>
      <c r="C1061" s="12" t="inlineStr">
        <is>
          <t>Restaurantes parrilas</t>
        </is>
      </c>
      <c r="D1061" s="12" t="inlineStr">
        <is>
          <t>Casa de comidas</t>
        </is>
      </c>
      <c r="E1061" s="22" t="n">
        <v>31</v>
      </c>
      <c r="F1061" s="22" t="n">
        <v>10891</v>
      </c>
      <c r="G1061" s="24" t="inlineStr">
        <is>
          <t>https://guiarsanrafael.com.ar/empresa/mahal-sushi/</t>
        </is>
      </c>
    </row>
    <row r="1062">
      <c r="A1062" s="19" t="n">
        <v>1061</v>
      </c>
      <c r="B1062" s="20" t="inlineStr">
        <is>
          <t>Maira Yamila Rigazzio</t>
        </is>
      </c>
      <c r="C1062" s="14" t="inlineStr">
        <is>
          <t>Clinica medica</t>
        </is>
      </c>
      <c r="D1062" s="14" t="inlineStr">
        <is>
          <t>Clinica medica</t>
        </is>
      </c>
      <c r="E1062" s="19" t="n">
        <v>159</v>
      </c>
      <c r="F1062" s="19" t="n">
        <v>5289</v>
      </c>
      <c r="G1062" s="21" t="inlineStr">
        <is>
          <t>https://guiarsanrafael.com.ar/empresa/maira-yamila-rigazzio/</t>
        </is>
      </c>
    </row>
    <row r="1063">
      <c r="A1063" s="22" t="n">
        <v>1062</v>
      </c>
      <c r="B1063" s="23" t="inlineStr">
        <is>
          <t>Malanca Agro Maquinarias</t>
        </is>
      </c>
      <c r="C1063" s="12" t="inlineStr">
        <is>
          <t>Insulos agricolas riego</t>
        </is>
      </c>
      <c r="D1063" s="12" t="inlineStr">
        <is>
          <t>Maquinarias agricolas</t>
        </is>
      </c>
      <c r="E1063" s="22" t="n">
        <v>69</v>
      </c>
      <c r="F1063" s="22" t="n">
        <v>8478</v>
      </c>
      <c r="G1063" s="24" t="inlineStr">
        <is>
          <t>https://guiarsanrafael.com.ar/empresa/malanca-agro-maquinarias-srl-proveedor-de-equipos-agricolas/</t>
        </is>
      </c>
    </row>
    <row r="1064">
      <c r="A1064" s="19" t="n">
        <v>1063</v>
      </c>
      <c r="B1064" s="20" t="inlineStr">
        <is>
          <t>MALCO RUBIN</t>
        </is>
      </c>
      <c r="C1064" s="14" t="inlineStr">
        <is>
          <t>Diabetologia</t>
        </is>
      </c>
      <c r="D1064" s="14" t="inlineStr">
        <is>
          <t>Diabetologia</t>
        </is>
      </c>
      <c r="E1064" s="19" t="n">
        <v>129</v>
      </c>
      <c r="F1064" s="19" t="n">
        <v>6445</v>
      </c>
      <c r="G1064" s="21" t="inlineStr">
        <is>
          <t>https://guiarsanrafael.com.ar/empresa/malco-rubin/</t>
        </is>
      </c>
    </row>
    <row r="1065">
      <c r="A1065" s="22" t="n">
        <v>1064</v>
      </c>
      <c r="B1065" s="23" t="inlineStr">
        <is>
          <t>MANCINO Juan Manuel</t>
        </is>
      </c>
      <c r="C1065" s="12" t="inlineStr">
        <is>
          <t>Escribanias escribanos escribanas mandatario mandataria notarios notarias</t>
        </is>
      </c>
      <c r="D1065" s="12" t="inlineStr">
        <is>
          <t>Escribanias</t>
        </is>
      </c>
      <c r="E1065" s="22" t="n">
        <v>82</v>
      </c>
      <c r="F1065" s="22" t="n">
        <v>8197</v>
      </c>
      <c r="G1065" s="24" t="inlineStr">
        <is>
          <t>https://guiarsanrafael.com.ar/empresa/mancino-juan-manuel/</t>
        </is>
      </c>
    </row>
    <row r="1066">
      <c r="A1066" s="19" t="n">
        <v>1065</v>
      </c>
      <c r="B1066" s="20" t="inlineStr">
        <is>
          <t>MANCINO María José</t>
        </is>
      </c>
      <c r="C1066" s="14" t="inlineStr">
        <is>
          <t>Escribanias escribanos escribanas mandatario mandataria notarios notarias</t>
        </is>
      </c>
      <c r="D1066" s="14" t="inlineStr">
        <is>
          <t>Escribanas</t>
        </is>
      </c>
      <c r="E1066" s="19" t="n">
        <v>82</v>
      </c>
      <c r="F1066" s="19" t="n">
        <v>8198</v>
      </c>
      <c r="G1066" s="21" t="inlineStr">
        <is>
          <t>https://guiarsanrafael.com.ar/empresa/mancino-maria-jose/</t>
        </is>
      </c>
    </row>
    <row r="1067">
      <c r="A1067" s="22" t="n">
        <v>1066</v>
      </c>
      <c r="B1067" s="23" t="inlineStr">
        <is>
          <t>MANJARES Rotisería Casa de Comidas</t>
        </is>
      </c>
      <c r="C1067" s="12" t="inlineStr">
        <is>
          <t>Casa de comidas rotiseria viandas</t>
        </is>
      </c>
      <c r="D1067" s="12" t="inlineStr">
        <is>
          <t>Casa de comidas</t>
        </is>
      </c>
      <c r="E1067" s="22" t="n">
        <v>12</v>
      </c>
      <c r="F1067" s="22" t="n">
        <v>13225</v>
      </c>
      <c r="G1067" s="24" t="inlineStr">
        <is>
          <t>https://guiarsanrafael.com.ar/empresa/manjares-casa-de-comidas/</t>
        </is>
      </c>
    </row>
    <row r="1068">
      <c r="A1068" s="19" t="n">
        <v>1067</v>
      </c>
      <c r="B1068" s="20" t="inlineStr">
        <is>
          <t>MANTOVANI Marisel</t>
        </is>
      </c>
      <c r="C1068" s="14" t="inlineStr">
        <is>
          <t>Escribanias escribanos escribanas mandatario mandataria notarios notarias</t>
        </is>
      </c>
      <c r="D1068" s="14" t="inlineStr">
        <is>
          <t>Escribanas</t>
        </is>
      </c>
      <c r="E1068" s="19" t="n">
        <v>82</v>
      </c>
      <c r="F1068" s="19" t="n">
        <v>8199</v>
      </c>
      <c r="G1068" s="21" t="inlineStr">
        <is>
          <t>https://guiarsanrafael.com.ar/empresa/mantovani-marisel/</t>
        </is>
      </c>
    </row>
    <row r="1069">
      <c r="A1069" s="22" t="n">
        <v>1068</v>
      </c>
      <c r="B1069" s="23" t="inlineStr">
        <is>
          <t>Mape Limpieza</t>
        </is>
      </c>
      <c r="C1069" s="12" t="inlineStr">
        <is>
          <t>Articulos de limpieza todo suelto</t>
        </is>
      </c>
      <c r="D1069" s="12" t="inlineStr">
        <is>
          <t>Articulos de limpieza</t>
        </is>
      </c>
      <c r="E1069" s="22" t="n">
        <v>68</v>
      </c>
      <c r="F1069" s="22" t="n">
        <v>8521</v>
      </c>
      <c r="G1069" s="24" t="inlineStr">
        <is>
          <t>https://guiarsanrafael.com.ar/empresa/mape-limpieza/</t>
        </is>
      </c>
    </row>
    <row r="1070">
      <c r="A1070" s="19" t="n">
        <v>1069</v>
      </c>
      <c r="B1070" s="20" t="inlineStr">
        <is>
          <t>MARA MANCINI</t>
        </is>
      </c>
      <c r="C1070" s="14" t="inlineStr">
        <is>
          <t>Estilistas peluqueria barberias</t>
        </is>
      </c>
      <c r="D1070" s="14" t="inlineStr">
        <is>
          <t>Estilistas</t>
        </is>
      </c>
      <c r="E1070" s="19" t="n">
        <v>129</v>
      </c>
      <c r="F1070" s="19" t="n">
        <v>6458</v>
      </c>
      <c r="G1070" s="21" t="inlineStr">
        <is>
          <t>https://guiarsanrafael.com.ar/empresa/mara-mancini/</t>
        </is>
      </c>
    </row>
    <row r="1071">
      <c r="A1071" s="22" t="n">
        <v>1070</v>
      </c>
      <c r="B1071" s="23" t="inlineStr">
        <is>
          <t>MARAKUM Yoga y Masoterapia</t>
        </is>
      </c>
      <c r="C1071" s="12" t="inlineStr">
        <is>
          <t>Masoterapia masoterapeuta</t>
        </is>
      </c>
      <c r="D1071" s="12" t="inlineStr">
        <is>
          <t>Masoterapeuta</t>
        </is>
      </c>
      <c r="E1071" s="22" t="n">
        <v>5</v>
      </c>
      <c r="F1071" s="22" t="n">
        <v>14431</v>
      </c>
      <c r="G1071" s="24" t="inlineStr">
        <is>
          <t>https://guiarsanrafael.com.ar/empresa/marakum-yoga-y-masoterapia/</t>
        </is>
      </c>
    </row>
    <row r="1072">
      <c r="A1072" s="19" t="n">
        <v>1071</v>
      </c>
      <c r="B1072" s="20" t="inlineStr">
        <is>
          <t>MARCELA FERNADEZ</t>
        </is>
      </c>
      <c r="C1072" s="14" t="inlineStr">
        <is>
          <t>Academia</t>
        </is>
      </c>
      <c r="D1072" s="14" t="inlineStr">
        <is>
          <t>Academias</t>
        </is>
      </c>
      <c r="E1072" s="19" t="n">
        <v>136</v>
      </c>
      <c r="F1072" s="19" t="n">
        <v>5961</v>
      </c>
      <c r="G1072" s="21" t="inlineStr">
        <is>
          <t>https://guiarsanrafael.com.ar/empresa/marcela-fernadez/</t>
        </is>
      </c>
    </row>
    <row r="1073">
      <c r="A1073" s="22" t="n">
        <v>1072</v>
      </c>
      <c r="B1073" s="23" t="inlineStr">
        <is>
          <t>MARCELINO BESSIO Oficial Albañil</t>
        </is>
      </c>
      <c r="C1073" s="12" t="inlineStr">
        <is>
          <t>Empresas de servicio</t>
        </is>
      </c>
      <c r="D1073" s="12" t="inlineStr">
        <is>
          <t>Empresas de servicio</t>
        </is>
      </c>
      <c r="E1073" s="22" t="n">
        <v>27</v>
      </c>
      <c r="F1073" s="22" t="n">
        <v>11478</v>
      </c>
      <c r="G1073" s="24" t="inlineStr">
        <is>
          <t>https://guiarsanrafael.com.ar/empresa/marcelino-bessio-oficial-albanil/</t>
        </is>
      </c>
    </row>
    <row r="1074">
      <c r="A1074" s="19" t="n">
        <v>1073</v>
      </c>
      <c r="B1074" s="20" t="inlineStr">
        <is>
          <t>MARCELO FERREYRA</t>
        </is>
      </c>
      <c r="C1074" s="14" t="inlineStr">
        <is>
          <t>Centro de rehabilitacion</t>
        </is>
      </c>
      <c r="D1074" s="14" t="inlineStr">
        <is>
          <t>Centro de rehabilitacion</t>
        </is>
      </c>
      <c r="E1074" s="19" t="n">
        <v>135</v>
      </c>
      <c r="F1074" s="19" t="n">
        <v>5990</v>
      </c>
      <c r="G1074" s="21" t="inlineStr">
        <is>
          <t>https://guiarsanrafael.com.ar/empresa/marcelo-ferreyra/</t>
        </is>
      </c>
    </row>
    <row r="1075">
      <c r="A1075" s="22" t="n">
        <v>1074</v>
      </c>
      <c r="B1075" s="23" t="inlineStr">
        <is>
          <t>Marchetti Motos</t>
        </is>
      </c>
      <c r="C1075" s="12" t="inlineStr">
        <is>
          <t>Agencias de motos</t>
        </is>
      </c>
      <c r="D1075" s="12" t="inlineStr">
        <is>
          <t>Accesorios para motos</t>
        </is>
      </c>
      <c r="E1075" s="22" t="n">
        <v>70</v>
      </c>
      <c r="F1075" s="22" t="n">
        <v>8463</v>
      </c>
      <c r="G1075" s="24" t="inlineStr">
        <is>
          <t>https://guiarsanrafael.com.ar/empresa/marchetti-motos/</t>
        </is>
      </c>
    </row>
    <row r="1076">
      <c r="A1076" s="19" t="n">
        <v>1075</v>
      </c>
      <c r="B1076" s="20" t="inlineStr">
        <is>
          <t>MARCIAL GIM</t>
        </is>
      </c>
      <c r="C1076" s="14" t="inlineStr">
        <is>
          <t>Gimnasios gym</t>
        </is>
      </c>
      <c r="D1076" s="14" t="inlineStr">
        <is>
          <t>Gimnasios</t>
        </is>
      </c>
      <c r="E1076" s="19" t="n">
        <v>8</v>
      </c>
      <c r="F1076" s="19" t="n">
        <v>14037</v>
      </c>
      <c r="G1076" s="21" t="inlineStr">
        <is>
          <t>https://guiarsanrafael.com.ar/empresa/marcial-gim/</t>
        </is>
      </c>
    </row>
    <row r="1077">
      <c r="A1077" s="22" t="n">
        <v>1076</v>
      </c>
      <c r="B1077" s="23" t="inlineStr">
        <is>
          <t>MARCO Libreria</t>
        </is>
      </c>
      <c r="C1077" s="12" t="inlineStr">
        <is>
          <t>Librerias</t>
        </is>
      </c>
      <c r="D1077" s="12" t="inlineStr">
        <is>
          <t>Librerias</t>
        </is>
      </c>
      <c r="E1077" s="22" t="n">
        <v>88</v>
      </c>
      <c r="F1077" s="22" t="n">
        <v>8020</v>
      </c>
      <c r="G1077" s="24" t="inlineStr">
        <is>
          <t>https://guiarsanrafael.com.ar/empresa/marco-libreria/</t>
        </is>
      </c>
    </row>
    <row r="1078">
      <c r="A1078" s="19" t="n">
        <v>1077</v>
      </c>
      <c r="B1078" s="20" t="inlineStr">
        <is>
          <t>Marcos Barroso</t>
        </is>
      </c>
      <c r="C1078" s="14" t="inlineStr">
        <is>
          <t>Gastroenterologia</t>
        </is>
      </c>
      <c r="D1078" s="14" t="inlineStr">
        <is>
          <t>Gastroenterologia</t>
        </is>
      </c>
      <c r="E1078" s="19" t="n">
        <v>156</v>
      </c>
      <c r="F1078" s="19" t="n">
        <v>5329</v>
      </c>
      <c r="G1078" s="21" t="inlineStr">
        <is>
          <t>https://guiarsanrafael.com.ar/empresa/marcos-barroso/</t>
        </is>
      </c>
    </row>
    <row r="1079">
      <c r="A1079" s="22" t="n">
        <v>1078</v>
      </c>
      <c r="B1079" s="23" t="inlineStr">
        <is>
          <t>Marcos Borgia</t>
        </is>
      </c>
      <c r="C1079" s="12" t="inlineStr">
        <is>
          <t>Clinica medica</t>
        </is>
      </c>
      <c r="D1079" s="12" t="inlineStr">
        <is>
          <t>Clinica medica</t>
        </is>
      </c>
      <c r="E1079" s="22" t="n">
        <v>159</v>
      </c>
      <c r="F1079" s="22" t="n">
        <v>5284</v>
      </c>
      <c r="G1079" s="24" t="inlineStr">
        <is>
          <t>https://guiarsanrafael.com.ar/empresa/marcos-borgia/</t>
        </is>
      </c>
    </row>
    <row r="1080">
      <c r="A1080" s="19" t="n">
        <v>1079</v>
      </c>
      <c r="B1080" s="20" t="inlineStr">
        <is>
          <t>MARCOS FITT</t>
        </is>
      </c>
      <c r="C1080" s="14" t="inlineStr">
        <is>
          <t>Cirujia cirujano</t>
        </is>
      </c>
      <c r="D1080" s="14" t="inlineStr">
        <is>
          <t>Cirugia general</t>
        </is>
      </c>
      <c r="E1080" s="19" t="n">
        <v>164</v>
      </c>
      <c r="F1080" s="19" t="n">
        <v>5061</v>
      </c>
      <c r="G1080" s="21" t="inlineStr">
        <is>
          <t>https://guiarsanrafael.com.ar/empresa/5061/</t>
        </is>
      </c>
    </row>
    <row r="1081">
      <c r="A1081" s="22" t="n">
        <v>1080</v>
      </c>
      <c r="B1081" s="23" t="inlineStr">
        <is>
          <t>Marcos Morales</t>
        </is>
      </c>
      <c r="C1081" s="12" t="inlineStr">
        <is>
          <t>Odontologia</t>
        </is>
      </c>
      <c r="D1081" s="12" t="inlineStr">
        <is>
          <t>Odontologia</t>
        </is>
      </c>
      <c r="E1081" s="22" t="n">
        <v>102</v>
      </c>
      <c r="F1081" s="22" t="n">
        <v>7396</v>
      </c>
      <c r="G1081" s="24" t="inlineStr">
        <is>
          <t>https://guiarsanrafael.com.ar/empresa/marcos-morales/</t>
        </is>
      </c>
    </row>
    <row r="1082">
      <c r="A1082" s="19" t="n">
        <v>1081</v>
      </c>
      <c r="B1082" s="20" t="inlineStr">
        <is>
          <t>Marcos Prieto</t>
        </is>
      </c>
      <c r="C1082" s="14" t="inlineStr">
        <is>
          <t>Pediatria neonatologia</t>
        </is>
      </c>
      <c r="D1082" s="14" t="inlineStr">
        <is>
          <t>Pediatria y neonatologia</t>
        </is>
      </c>
      <c r="E1082" s="19" t="n">
        <v>146</v>
      </c>
      <c r="F1082" s="19" t="n">
        <v>5481</v>
      </c>
      <c r="G1082" s="21" t="inlineStr">
        <is>
          <t>https://guiarsanrafael.com.ar/empresa/marcos-prieto/</t>
        </is>
      </c>
    </row>
    <row r="1083">
      <c r="A1083" s="22" t="n">
        <v>1082</v>
      </c>
      <c r="B1083" s="23" t="inlineStr">
        <is>
          <t>MARCOS SANCHEZ</t>
        </is>
      </c>
      <c r="C1083" s="12" t="inlineStr">
        <is>
          <t>Centro de rehabilitacion</t>
        </is>
      </c>
      <c r="D1083" s="12" t="inlineStr">
        <is>
          <t>Centro de rehabilitacion</t>
        </is>
      </c>
      <c r="E1083" s="22" t="n">
        <v>152</v>
      </c>
      <c r="F1083" s="22" t="n">
        <v>5398</v>
      </c>
      <c r="G1083" s="24" t="inlineStr">
        <is>
          <t>https://guiarsanrafael.com.ar/empresa/marcos-sanchez/</t>
        </is>
      </c>
    </row>
    <row r="1084">
      <c r="A1084" s="19" t="n">
        <v>1083</v>
      </c>
      <c r="B1084" s="20" t="inlineStr">
        <is>
          <t>MAREN Vestidos</t>
        </is>
      </c>
      <c r="C1084" s="14" t="inlineStr">
        <is>
          <t>Eventos</t>
        </is>
      </c>
      <c r="D1084" s="14" t="inlineStr">
        <is>
          <t>Eventos</t>
        </is>
      </c>
      <c r="E1084" s="19" t="n">
        <v>20</v>
      </c>
      <c r="F1084" s="19" t="n">
        <v>12193</v>
      </c>
      <c r="G1084" s="21" t="inlineStr">
        <is>
          <t>https://guiarsanrafael.com.ar/empresa/maren-vestidos/</t>
        </is>
      </c>
    </row>
    <row r="1085">
      <c r="A1085" s="22" t="n">
        <v>1084</v>
      </c>
      <c r="B1085" s="23" t="inlineStr">
        <is>
          <t>Maria Carolina	Sat</t>
        </is>
      </c>
      <c r="C1085" s="12" t="inlineStr">
        <is>
          <t>Odontologia</t>
        </is>
      </c>
      <c r="D1085" s="12" t="inlineStr">
        <is>
          <t>Odontologia</t>
        </is>
      </c>
      <c r="E1085" s="22" t="n">
        <v>99</v>
      </c>
      <c r="F1085" s="22" t="n">
        <v>7467</v>
      </c>
      <c r="G1085" s="24" t="inlineStr">
        <is>
          <t>https://guiarsanrafael.com.ar/empresa/maria-carolinasat/</t>
        </is>
      </c>
    </row>
    <row r="1086">
      <c r="A1086" s="19" t="n">
        <v>1085</v>
      </c>
      <c r="B1086" s="20" t="inlineStr">
        <is>
          <t>MARIA CIELO DIAZ</t>
        </is>
      </c>
      <c r="C1086" s="14" t="inlineStr">
        <is>
          <t>Odontologia</t>
        </is>
      </c>
      <c r="D1086" s="14" t="inlineStr">
        <is>
          <t>Odontologia</t>
        </is>
      </c>
      <c r="E1086" s="19" t="n">
        <v>104</v>
      </c>
      <c r="F1086" s="19" t="n">
        <v>7376</v>
      </c>
      <c r="G1086" s="21" t="inlineStr">
        <is>
          <t>https://guiarsanrafael.com.ar/empresa/cielo-diaz/</t>
        </is>
      </c>
    </row>
    <row r="1087">
      <c r="A1087" s="22" t="n">
        <v>1086</v>
      </c>
      <c r="B1087" s="23" t="inlineStr">
        <is>
          <t>MARIA ELENA MURAD</t>
        </is>
      </c>
      <c r="C1087" s="12" t="inlineStr">
        <is>
          <t>Odontologia</t>
        </is>
      </c>
      <c r="D1087" s="12" t="inlineStr">
        <is>
          <t>Odontologia</t>
        </is>
      </c>
      <c r="E1087" s="22" t="n">
        <v>101</v>
      </c>
      <c r="F1087" s="22" t="n">
        <v>7448</v>
      </c>
      <c r="G1087" s="24" t="inlineStr">
        <is>
          <t>https://guiarsanrafael.com.ar/empresa/maria-elena-murad/</t>
        </is>
      </c>
    </row>
    <row r="1088">
      <c r="A1088" s="19" t="n">
        <v>1087</v>
      </c>
      <c r="B1088" s="20" t="inlineStr">
        <is>
          <t>MARIA EUGENIA GONZALEZ</t>
        </is>
      </c>
      <c r="C1088" s="14" t="inlineStr">
        <is>
          <t>Centro de estetica</t>
        </is>
      </c>
      <c r="D1088" s="14" t="inlineStr">
        <is>
          <t>Centro de estetica</t>
        </is>
      </c>
      <c r="E1088" s="19" t="n">
        <v>105</v>
      </c>
      <c r="F1088" s="19" t="n">
        <v>7335</v>
      </c>
      <c r="G1088" s="21" t="inlineStr">
        <is>
          <t>https://guiarsanrafael.com.ar/empresa/maria-eugenia-gonzalez/</t>
        </is>
      </c>
    </row>
    <row r="1089">
      <c r="A1089" s="22" t="n">
        <v>1088</v>
      </c>
      <c r="B1089" s="23" t="inlineStr">
        <is>
          <t>Maria Julia Larghi</t>
        </is>
      </c>
      <c r="C1089" s="12" t="inlineStr">
        <is>
          <t>Odontologia</t>
        </is>
      </c>
      <c r="D1089" s="12" t="inlineStr">
        <is>
          <t>Odontologia</t>
        </is>
      </c>
      <c r="E1089" s="22" t="n">
        <v>102</v>
      </c>
      <c r="F1089" s="22" t="n">
        <v>7389</v>
      </c>
      <c r="G1089" s="24" t="inlineStr">
        <is>
          <t>https://guiarsanrafael.com.ar/empresa/maria-julia-larghi/</t>
        </is>
      </c>
    </row>
    <row r="1090">
      <c r="A1090" s="19" t="n">
        <v>1089</v>
      </c>
      <c r="B1090" s="20" t="inlineStr">
        <is>
          <t>MARIA LAURA SODERO</t>
        </is>
      </c>
      <c r="C1090" s="14" t="inlineStr">
        <is>
          <t>Contadores estudios contables</t>
        </is>
      </c>
      <c r="D1090" s="14" t="inlineStr">
        <is>
          <t>Contadores</t>
        </is>
      </c>
      <c r="E1090" s="19" t="n">
        <v>124</v>
      </c>
      <c r="F1090" s="19" t="n">
        <v>6770</v>
      </c>
      <c r="G1090" s="21" t="inlineStr">
        <is>
          <t>https://guiarsanrafael.com.ar/empresa/maria-laura-sodero/</t>
        </is>
      </c>
    </row>
    <row r="1091">
      <c r="A1091" s="22" t="n">
        <v>1090</v>
      </c>
      <c r="B1091" s="23" t="inlineStr">
        <is>
          <t>MARIA LOURDES DIAZ CHAIN</t>
        </is>
      </c>
      <c r="C1091" s="12" t="inlineStr">
        <is>
          <t>Diagnostico por imagenes ecografia mamografias</t>
        </is>
      </c>
      <c r="D1091" s="12" t="inlineStr">
        <is>
          <t>Diagnostico por imagenes</t>
        </is>
      </c>
      <c r="E1091" s="22" t="n">
        <v>1</v>
      </c>
      <c r="F1091" s="22" t="n">
        <v>15143</v>
      </c>
      <c r="G1091" s="24" t="inlineStr">
        <is>
          <t>https://guiarsanrafael.com.ar/empresa/maria-lourdes-diaz-chain/</t>
        </is>
      </c>
    </row>
    <row r="1092">
      <c r="A1092" s="19" t="n">
        <v>1091</v>
      </c>
      <c r="B1092" s="20" t="inlineStr">
        <is>
          <t>MARIA MARTA DIAZ</t>
        </is>
      </c>
      <c r="C1092" s="14" t="inlineStr">
        <is>
          <t>Escribanias escribanos escribanas mandatario mandataria notarios notarias</t>
        </is>
      </c>
      <c r="D1092" s="14" t="inlineStr">
        <is>
          <t>Escribanas</t>
        </is>
      </c>
      <c r="E1092" s="19" t="n">
        <v>133</v>
      </c>
      <c r="F1092" s="19" t="n">
        <v>6149</v>
      </c>
      <c r="G1092" s="21" t="inlineStr">
        <is>
          <t>https://guiarsanrafael.com.ar/empresa/maria-marta-diaz/</t>
        </is>
      </c>
    </row>
    <row r="1093">
      <c r="A1093" s="22" t="n">
        <v>1092</v>
      </c>
      <c r="B1093" s="23" t="inlineStr">
        <is>
          <t>MARIA PAMELA ROJAS</t>
        </is>
      </c>
      <c r="C1093" s="12" t="inlineStr">
        <is>
          <t>Cirujia cirujano</t>
        </is>
      </c>
      <c r="D1093" s="12" t="inlineStr">
        <is>
          <t>Cirugia general</t>
        </is>
      </c>
      <c r="E1093" s="22" t="n">
        <v>163</v>
      </c>
      <c r="F1093" s="22" t="n">
        <v>5063</v>
      </c>
      <c r="G1093" s="24" t="inlineStr">
        <is>
          <t>https://guiarsanrafael.com.ar/empresa/maria-pamela-rojas/</t>
        </is>
      </c>
    </row>
    <row r="1094">
      <c r="A1094" s="19" t="n">
        <v>1093</v>
      </c>
      <c r="B1094" s="20" t="inlineStr">
        <is>
          <t>MARIA PAULA FRANCESCHINI</t>
        </is>
      </c>
      <c r="C1094" s="14" t="inlineStr">
        <is>
          <t>Mueblerias muebles de oficina</t>
        </is>
      </c>
      <c r="D1094" s="14" t="inlineStr">
        <is>
          <t>Mueblerias</t>
        </is>
      </c>
      <c r="E1094" s="19" t="n">
        <v>15</v>
      </c>
      <c r="F1094" s="19" t="n">
        <v>12740</v>
      </c>
      <c r="G1094" s="21" t="inlineStr">
        <is>
          <t>https://guiarsanrafael.com.ar/empresa/maria-paula-franceschini/</t>
        </is>
      </c>
    </row>
    <row r="1095">
      <c r="A1095" s="22" t="n">
        <v>1094</v>
      </c>
      <c r="B1095" s="23" t="inlineStr">
        <is>
          <t>Maria Victoria Hernández</t>
        </is>
      </c>
      <c r="C1095" s="12" t="inlineStr">
        <is>
          <t>Odontologia</t>
        </is>
      </c>
      <c r="D1095" s="12" t="inlineStr">
        <is>
          <t>Odontologia</t>
        </is>
      </c>
      <c r="E1095" s="22" t="n">
        <v>103</v>
      </c>
      <c r="F1095" s="22" t="n">
        <v>7386</v>
      </c>
      <c r="G1095" s="24" t="inlineStr">
        <is>
          <t>https://guiarsanrafael.com.ar/empresa/maria-victoria-hernandez/</t>
        </is>
      </c>
    </row>
    <row r="1096">
      <c r="A1096" s="19" t="n">
        <v>1095</v>
      </c>
      <c r="B1096" s="20" t="inlineStr">
        <is>
          <t>Maria Victoria Palomares</t>
        </is>
      </c>
      <c r="C1096" s="14" t="inlineStr">
        <is>
          <t>Clinica del lenguaje</t>
        </is>
      </c>
      <c r="D1096" s="14" t="inlineStr">
        <is>
          <t>Clinica del lenguaje</t>
        </is>
      </c>
      <c r="E1096" s="19" t="n">
        <v>156</v>
      </c>
      <c r="F1096" s="19" t="n">
        <v>5324</v>
      </c>
      <c r="G1096" s="21" t="inlineStr">
        <is>
          <t>https://guiarsanrafael.com.ar/empresa/maria-victoria-palomares/</t>
        </is>
      </c>
    </row>
    <row r="1097">
      <c r="A1097" s="22" t="n">
        <v>1096</v>
      </c>
      <c r="B1097" s="23" t="inlineStr">
        <is>
          <t>MARIANA  PIRAGINE</t>
        </is>
      </c>
      <c r="C1097" s="12" t="inlineStr">
        <is>
          <t>Odontologia</t>
        </is>
      </c>
      <c r="D1097" s="12" t="inlineStr">
        <is>
          <t>Odontologia</t>
        </is>
      </c>
      <c r="E1097" s="22" t="n">
        <v>137</v>
      </c>
      <c r="F1097" s="22" t="n">
        <v>5839</v>
      </c>
      <c r="G1097" s="24" t="inlineStr">
        <is>
          <t>https://guiarsanrafael.com.ar/empresa/mariana-piragine/</t>
        </is>
      </c>
    </row>
    <row r="1098">
      <c r="A1098" s="19" t="n">
        <v>1097</v>
      </c>
      <c r="B1098" s="20" t="inlineStr">
        <is>
          <t>MARIANA CASTILLO</t>
        </is>
      </c>
      <c r="C1098" s="14" t="inlineStr">
        <is>
          <t>Pediatria neonatologia</t>
        </is>
      </c>
      <c r="D1098" s="14" t="inlineStr">
        <is>
          <t>Pediatria y neonatologia</t>
        </is>
      </c>
      <c r="E1098" s="19" t="n">
        <v>97</v>
      </c>
      <c r="F1098" s="19" t="n">
        <v>7542</v>
      </c>
      <c r="G1098" s="21" t="inlineStr">
        <is>
          <t>https://guiarsanrafael.com.ar/empresa/castillo-mariana/</t>
        </is>
      </c>
    </row>
    <row r="1099">
      <c r="A1099" s="22" t="n">
        <v>1098</v>
      </c>
      <c r="B1099" s="23" t="inlineStr">
        <is>
          <t>Mariana Castillo</t>
        </is>
      </c>
      <c r="C1099" s="12" t="inlineStr">
        <is>
          <t>Pediatria neonatologia</t>
        </is>
      </c>
      <c r="D1099" s="12" t="inlineStr">
        <is>
          <t>Pediatria y neonatologia</t>
        </is>
      </c>
      <c r="E1099" s="22" t="n">
        <v>146</v>
      </c>
      <c r="F1099" s="22" t="n">
        <v>5472</v>
      </c>
      <c r="G1099" s="24" t="inlineStr">
        <is>
          <t>https://guiarsanrafael.com.ar/empresa/mariana-castillo/</t>
        </is>
      </c>
    </row>
    <row r="1100">
      <c r="A1100" s="19" t="n">
        <v>1099</v>
      </c>
      <c r="B1100" s="20" t="inlineStr">
        <is>
          <t>Mariana Chesak</t>
        </is>
      </c>
      <c r="C1100" s="14" t="inlineStr">
        <is>
          <t>Psicopedagogia</t>
        </is>
      </c>
      <c r="D1100" s="14" t="inlineStr">
        <is>
          <t>Psicopedagogia</t>
        </is>
      </c>
      <c r="E1100" s="19" t="n">
        <v>143</v>
      </c>
      <c r="F1100" s="19" t="n">
        <v>5520</v>
      </c>
      <c r="G1100" s="21" t="inlineStr">
        <is>
          <t>https://guiarsanrafael.com.ar/empresa/mariana-chesak/</t>
        </is>
      </c>
    </row>
    <row r="1101">
      <c r="A1101" s="22" t="n">
        <v>1100</v>
      </c>
      <c r="B1101" s="23" t="inlineStr">
        <is>
          <t>MARIANA OCHOA</t>
        </is>
      </c>
      <c r="C1101" s="12" t="inlineStr">
        <is>
          <t>Endodoncia</t>
        </is>
      </c>
      <c r="D1101" s="12" t="inlineStr">
        <is>
          <t>Endodoncia</t>
        </is>
      </c>
      <c r="E1101" s="22" t="n">
        <v>40</v>
      </c>
      <c r="F1101" s="22" t="n">
        <v>10124</v>
      </c>
      <c r="G1101" s="24" t="inlineStr">
        <is>
          <t>https://guiarsanrafael.com.ar/empresa/mariana-ochoa-2/</t>
        </is>
      </c>
    </row>
    <row r="1102">
      <c r="A1102" s="19" t="n">
        <v>1101</v>
      </c>
      <c r="B1102" s="20" t="inlineStr">
        <is>
          <t>Mariana Ochoa</t>
        </is>
      </c>
      <c r="C1102" s="14" t="inlineStr">
        <is>
          <t>Odontologia</t>
        </is>
      </c>
      <c r="D1102" s="14" t="inlineStr">
        <is>
          <t>Odontologia</t>
        </is>
      </c>
      <c r="E1102" s="19" t="n">
        <v>101</v>
      </c>
      <c r="F1102" s="19" t="n">
        <v>7451</v>
      </c>
      <c r="G1102" s="21" t="inlineStr">
        <is>
          <t>https://guiarsanrafael.com.ar/empresa/mariana-ochoa/</t>
        </is>
      </c>
    </row>
    <row r="1103">
      <c r="A1103" s="22" t="n">
        <v>1102</v>
      </c>
      <c r="B1103" s="23" t="inlineStr">
        <is>
          <t>Mariana Teruel Galletti</t>
        </is>
      </c>
      <c r="C1103" s="12" t="inlineStr">
        <is>
          <t>Kinesiologia y fisioterapia</t>
        </is>
      </c>
      <c r="D1103" s="12" t="inlineStr">
        <is>
          <t>Kinesiologia y fisioterapia</t>
        </is>
      </c>
      <c r="E1103" s="22" t="n">
        <v>151</v>
      </c>
      <c r="F1103" s="22" t="n">
        <v>5402</v>
      </c>
      <c r="G1103" s="24" t="inlineStr">
        <is>
          <t>https://guiarsanrafael.com.ar/empresa/mariana-teruel-galletti/</t>
        </is>
      </c>
    </row>
    <row r="1104">
      <c r="A1104" s="19" t="n">
        <v>1103</v>
      </c>
      <c r="B1104" s="20" t="inlineStr">
        <is>
          <t>MARIANO ACOSTA Neumáticos</t>
        </is>
      </c>
      <c r="C1104" s="14" t="inlineStr">
        <is>
          <t>Alineacion y balanceo</t>
        </is>
      </c>
      <c r="D1104" s="14" t="inlineStr">
        <is>
          <t>Alineacion y balanceo</t>
        </is>
      </c>
      <c r="E1104" s="19" t="n">
        <v>22</v>
      </c>
      <c r="F1104" s="19" t="n">
        <v>11951</v>
      </c>
      <c r="G1104" s="21" t="inlineStr">
        <is>
          <t>https://guiarsanrafael.com.ar/empresa/mariano-acosta-neumaticos/</t>
        </is>
      </c>
    </row>
    <row r="1105">
      <c r="A1105" s="22" t="n">
        <v>1104</v>
      </c>
      <c r="B1105" s="23" t="inlineStr">
        <is>
          <t>MARIANO EZEQUIEL DÍAZ</t>
        </is>
      </c>
      <c r="C1105" s="12" t="inlineStr">
        <is>
          <t>Odontologia</t>
        </is>
      </c>
      <c r="D1105" s="12" t="inlineStr">
        <is>
          <t>Odontologia</t>
        </is>
      </c>
      <c r="E1105" s="22" t="n">
        <v>124</v>
      </c>
      <c r="F1105" s="22" t="n">
        <v>6799</v>
      </c>
      <c r="G1105" s="24" t="inlineStr">
        <is>
          <t>https://guiarsanrafael.com.ar/empresa/mariano-ezequiel-diaz/</t>
        </is>
      </c>
    </row>
    <row r="1106">
      <c r="A1106" s="19" t="n">
        <v>1105</v>
      </c>
      <c r="B1106" s="20" t="inlineStr">
        <is>
          <t>MARIANO LOPEZ</t>
        </is>
      </c>
      <c r="C1106" s="14" t="inlineStr">
        <is>
          <t>Pediatria neonatologia</t>
        </is>
      </c>
      <c r="D1106" s="14" t="inlineStr">
        <is>
          <t>Pediatria y neonatologia</t>
        </is>
      </c>
      <c r="E1106" s="19" t="n">
        <v>10</v>
      </c>
      <c r="F1106" s="19" t="n">
        <v>13607</v>
      </c>
      <c r="G1106" s="21" t="inlineStr">
        <is>
          <t>https://guiarsanrafael.com.ar/empresa/mariano-lopez/</t>
        </is>
      </c>
    </row>
    <row r="1107">
      <c r="A1107" s="22" t="n">
        <v>1106</v>
      </c>
      <c r="B1107" s="23" t="inlineStr">
        <is>
          <t>MARIANO MASINI</t>
        </is>
      </c>
      <c r="C1107" s="12" t="inlineStr">
        <is>
          <t>Veterinarios</t>
        </is>
      </c>
      <c r="D1107" s="12" t="inlineStr">
        <is>
          <t>Veterinarios</t>
        </is>
      </c>
      <c r="E1107" s="22" t="n">
        <v>135</v>
      </c>
      <c r="F1107" s="22" t="n">
        <v>6022</v>
      </c>
      <c r="G1107" s="24" t="inlineStr">
        <is>
          <t>https://guiarsanrafael.com.ar/empresa/mariano-masini/</t>
        </is>
      </c>
    </row>
    <row r="1108">
      <c r="A1108" s="19" t="n">
        <v>1107</v>
      </c>
      <c r="B1108" s="20" t="inlineStr">
        <is>
          <t>Mariano Parasecoli</t>
        </is>
      </c>
      <c r="C1108" s="14" t="inlineStr">
        <is>
          <t>Kinesiologia y fisioterapia</t>
        </is>
      </c>
      <c r="D1108" s="14" t="inlineStr">
        <is>
          <t>Kinesiologia y fisioterapia</t>
        </is>
      </c>
      <c r="E1108" s="19" t="n">
        <v>152</v>
      </c>
      <c r="F1108" s="19" t="n">
        <v>5395</v>
      </c>
      <c r="G1108" s="21" t="inlineStr">
        <is>
          <t>https://guiarsanrafael.com.ar/empresa/mariano-parasecoli/</t>
        </is>
      </c>
    </row>
    <row r="1109">
      <c r="A1109" s="22" t="n">
        <v>1108</v>
      </c>
      <c r="B1109" s="23" t="inlineStr">
        <is>
          <t>MARIANO RAUSCH Serena</t>
        </is>
      </c>
      <c r="C1109" s="12" t="inlineStr">
        <is>
          <t>Agua distribuidoras</t>
        </is>
      </c>
      <c r="D1109" s="12" t="inlineStr">
        <is>
          <t>Agua mineral</t>
        </is>
      </c>
      <c r="E1109" s="22" t="n">
        <v>31</v>
      </c>
      <c r="F1109" s="22" t="n">
        <v>10898</v>
      </c>
      <c r="G1109" s="24" t="inlineStr">
        <is>
          <t>https://guiarsanrafael.com.ar/empresa/mariano-raush-serena/</t>
        </is>
      </c>
    </row>
    <row r="1110">
      <c r="A1110" s="19" t="n">
        <v>1109</v>
      </c>
      <c r="B1110" s="20" t="inlineStr">
        <is>
          <t>MARIBEL TRENCH</t>
        </is>
      </c>
      <c r="C1110" s="14" t="inlineStr">
        <is>
          <t>Anatomia patologica</t>
        </is>
      </c>
      <c r="D1110" s="14" t="inlineStr">
        <is>
          <t>Anatomia patologica</t>
        </is>
      </c>
      <c r="E1110" s="19" t="n">
        <v>169</v>
      </c>
      <c r="F1110" s="19" t="n">
        <v>4591</v>
      </c>
      <c r="G1110" s="21" t="inlineStr">
        <is>
          <t>https://guiarsanrafael.com.ar/empresa/maribel-trench/</t>
        </is>
      </c>
    </row>
    <row r="1111">
      <c r="A1111" s="22" t="n">
        <v>1110</v>
      </c>
      <c r="B1111" s="23" t="inlineStr">
        <is>
          <t>Maricel Suoni Seifert</t>
        </is>
      </c>
      <c r="C1111" s="12" t="inlineStr">
        <is>
          <t>Odontologia</t>
        </is>
      </c>
      <c r="D1111" s="12" t="inlineStr">
        <is>
          <t>Odontologia</t>
        </is>
      </c>
      <c r="E1111" s="22" t="n">
        <v>99</v>
      </c>
      <c r="F1111" s="22" t="n">
        <v>7470</v>
      </c>
      <c r="G1111" s="24" t="inlineStr">
        <is>
          <t>https://guiarsanrafael.com.ar/empresa/maricel-suoni-seifert/</t>
        </is>
      </c>
    </row>
    <row r="1112">
      <c r="A1112" s="19" t="n">
        <v>1111</v>
      </c>
      <c r="B1112" s="20" t="inlineStr">
        <is>
          <t>Mariela Castro</t>
        </is>
      </c>
      <c r="C1112" s="14" t="inlineStr">
        <is>
          <t>Psicopedagogia</t>
        </is>
      </c>
      <c r="D1112" s="14" t="inlineStr">
        <is>
          <t>Psicopedagogia</t>
        </is>
      </c>
      <c r="E1112" s="19" t="n">
        <v>143</v>
      </c>
      <c r="F1112" s="19" t="n">
        <v>5519</v>
      </c>
      <c r="G1112" s="21" t="inlineStr">
        <is>
          <t>https://guiarsanrafael.com.ar/empresa/mariela-castro/</t>
        </is>
      </c>
    </row>
    <row r="1113">
      <c r="A1113" s="22" t="n">
        <v>1112</v>
      </c>
      <c r="B1113" s="23" t="inlineStr">
        <is>
          <t>MARIELA PENEDO Propiedades</t>
        </is>
      </c>
      <c r="C1113" s="12" t="inlineStr">
        <is>
          <t>Administraciones alquileres inmobiliarias</t>
        </is>
      </c>
      <c r="D1113" s="12" t="inlineStr">
        <is>
          <t>Administraciones</t>
        </is>
      </c>
      <c r="E1113" s="22" t="n">
        <v>22</v>
      </c>
      <c r="F1113" s="22" t="n">
        <v>11988</v>
      </c>
      <c r="G1113" s="24" t="inlineStr">
        <is>
          <t>https://guiarsanrafael.com.ar/empresa/mariela-penedo-propiedades/</t>
        </is>
      </c>
    </row>
    <row r="1114">
      <c r="A1114" s="19" t="n">
        <v>1113</v>
      </c>
      <c r="B1114" s="20" t="inlineStr">
        <is>
          <t>Mariela Peretó</t>
        </is>
      </c>
      <c r="C1114" s="14" t="inlineStr">
        <is>
          <t>Pediatria neonatologia</t>
        </is>
      </c>
      <c r="D1114" s="14" t="inlineStr">
        <is>
          <t>Pediatria y neonatologia</t>
        </is>
      </c>
      <c r="E1114" s="19" t="n">
        <v>146</v>
      </c>
      <c r="F1114" s="19" t="n">
        <v>5480</v>
      </c>
      <c r="G1114" s="21" t="inlineStr">
        <is>
          <t>https://guiarsanrafael.com.ar/empresa/mariela-pereto/</t>
        </is>
      </c>
    </row>
    <row r="1115">
      <c r="A1115" s="22" t="n">
        <v>1114</v>
      </c>
      <c r="B1115" s="23" t="inlineStr">
        <is>
          <t>Mariela Piastrellini</t>
        </is>
      </c>
      <c r="C1115" s="12" t="inlineStr">
        <is>
          <t>Nutricion nutricionistas</t>
        </is>
      </c>
      <c r="D1115" s="12" t="inlineStr">
        <is>
          <t>Nutricionistas</t>
        </is>
      </c>
      <c r="E1115" s="22" t="n">
        <v>149</v>
      </c>
      <c r="F1115" s="22" t="n">
        <v>5433</v>
      </c>
      <c r="G1115" s="24" t="inlineStr">
        <is>
          <t>https://guiarsanrafael.com.ar/empresa/mariela-piastrellini/</t>
        </is>
      </c>
    </row>
    <row r="1116">
      <c r="A1116" s="19" t="n">
        <v>1115</v>
      </c>
      <c r="B1116" s="20" t="inlineStr">
        <is>
          <t>MARIELA RICCIARDELLI</t>
        </is>
      </c>
      <c r="C1116" s="14" t="inlineStr">
        <is>
          <t>Kinesiologia y fisioterapia</t>
        </is>
      </c>
      <c r="D1116" s="14" t="inlineStr">
        <is>
          <t>Kinesiologia y fisioterapia</t>
        </is>
      </c>
      <c r="E1116" s="19" t="n">
        <v>7</v>
      </c>
      <c r="F1116" s="19" t="n">
        <v>14344</v>
      </c>
      <c r="G1116" s="21" t="inlineStr">
        <is>
          <t>https://guiarsanrafael.com.ar/empresa/mariela-ricciardelli/</t>
        </is>
      </c>
    </row>
    <row r="1117">
      <c r="A1117" s="22" t="n">
        <v>1116</v>
      </c>
      <c r="B1117" s="23" t="inlineStr">
        <is>
          <t>Mariela Villafañe</t>
        </is>
      </c>
      <c r="C1117" s="12" t="inlineStr">
        <is>
          <t>Psicopedagogia</t>
        </is>
      </c>
      <c r="D1117" s="12" t="inlineStr">
        <is>
          <t>Psicopedagogia</t>
        </is>
      </c>
      <c r="E1117" s="22" t="n">
        <v>40</v>
      </c>
      <c r="F1117" s="22" t="n">
        <v>10121</v>
      </c>
      <c r="G1117" s="24" t="inlineStr">
        <is>
          <t>https://guiarsanrafael.com.ar/empresa/mariela-villafane/</t>
        </is>
      </c>
    </row>
    <row r="1118">
      <c r="A1118" s="19" t="n">
        <v>1117</v>
      </c>
      <c r="B1118" s="20" t="inlineStr">
        <is>
          <t>MARINA AYELEN CHIRINO</t>
        </is>
      </c>
      <c r="C1118" s="14" t="inlineStr">
        <is>
          <t>Abogados abogadas estudios juridicos</t>
        </is>
      </c>
      <c r="D1118" s="14" t="inlineStr">
        <is>
          <t>Abogadas</t>
        </is>
      </c>
      <c r="E1118" s="19" t="n">
        <v>122</v>
      </c>
      <c r="F1118" s="19" t="n">
        <v>6962</v>
      </c>
      <c r="G1118" s="21" t="inlineStr">
        <is>
          <t>https://guiarsanrafael.com.ar/empresa/marina-ayelen-chirino/</t>
        </is>
      </c>
    </row>
    <row r="1119">
      <c r="A1119" s="22" t="n">
        <v>1118</v>
      </c>
      <c r="B1119" s="23" t="inlineStr">
        <is>
          <t>Marina Coussillan</t>
        </is>
      </c>
      <c r="C1119" s="12" t="inlineStr">
        <is>
          <t>Psicologia</t>
        </is>
      </c>
      <c r="D1119" s="12" t="inlineStr">
        <is>
          <t>Psicologia</t>
        </is>
      </c>
      <c r="E1119" s="22" t="n">
        <v>145</v>
      </c>
      <c r="F1119" s="22" t="n">
        <v>5501</v>
      </c>
      <c r="G1119" s="24" t="inlineStr">
        <is>
          <t>https://guiarsanrafael.com.ar/empresa/marina-coussillan/</t>
        </is>
      </c>
    </row>
    <row r="1120">
      <c r="A1120" s="19" t="n">
        <v>1119</v>
      </c>
      <c r="B1120" s="20" t="inlineStr">
        <is>
          <t>MARINA OLDANI</t>
        </is>
      </c>
      <c r="C1120" s="14" t="inlineStr">
        <is>
          <t>Kinesiologia y fisioterapia</t>
        </is>
      </c>
      <c r="D1120" s="14" t="inlineStr">
        <is>
          <t>Centro de rehabilitacion</t>
        </is>
      </c>
      <c r="E1120" s="19" t="n">
        <v>133</v>
      </c>
      <c r="F1120" s="19" t="n">
        <v>6122</v>
      </c>
      <c r="G1120" s="21" t="inlineStr">
        <is>
          <t>https://guiarsanrafael.com.ar/empresa/marina-oldani/</t>
        </is>
      </c>
    </row>
    <row r="1121">
      <c r="A1121" s="22" t="n">
        <v>1120</v>
      </c>
      <c r="B1121" s="23" t="inlineStr">
        <is>
          <t>MARINA SERRANO</t>
        </is>
      </c>
      <c r="C1121" s="12" t="inlineStr">
        <is>
          <t>Medicina estetica</t>
        </is>
      </c>
      <c r="D1121" s="12" t="inlineStr">
        <is>
          <t>Medicina estetica</t>
        </is>
      </c>
      <c r="E1121" s="22" t="n">
        <v>122</v>
      </c>
      <c r="F1121" s="22" t="n">
        <v>6900</v>
      </c>
      <c r="G1121" s="24" t="inlineStr">
        <is>
          <t>https://guiarsanrafael.com.ar/empresa/6900/</t>
        </is>
      </c>
    </row>
    <row r="1122">
      <c r="A1122" s="19" t="n">
        <v>1121</v>
      </c>
      <c r="B1122" s="20" t="inlineStr">
        <is>
          <t>Mario C. Atencio S.A.</t>
        </is>
      </c>
      <c r="C1122" s="14" t="inlineStr">
        <is>
          <t>Repuestos del automotor autopartes</t>
        </is>
      </c>
      <c r="D1122" s="14" t="inlineStr">
        <is>
          <t>Repuestos del automotor</t>
        </is>
      </c>
      <c r="E1122" s="19" t="n">
        <v>73</v>
      </c>
      <c r="F1122" s="19" t="n">
        <v>8411</v>
      </c>
      <c r="G1122" s="21" t="inlineStr">
        <is>
          <t>https://guiarsanrafael.com.ar/empresa/mario-c-atencio-s-a-2/</t>
        </is>
      </c>
    </row>
    <row r="1123">
      <c r="A1123" s="22" t="n">
        <v>1122</v>
      </c>
      <c r="B1123" s="23" t="inlineStr">
        <is>
          <t>Mario C. Atencio s.a.</t>
        </is>
      </c>
      <c r="C1123" s="12" t="inlineStr">
        <is>
          <t>Repuestos del automotor autopartes</t>
        </is>
      </c>
      <c r="D1123" s="12" t="inlineStr">
        <is>
          <t>Repuestos del automotor</t>
        </is>
      </c>
      <c r="E1123" s="22" t="n">
        <v>76</v>
      </c>
      <c r="F1123" s="22" t="n">
        <v>8394</v>
      </c>
      <c r="G1123" s="24" t="inlineStr">
        <is>
          <t>https://guiarsanrafael.com.ar/empresa/mario-c-atencio-s-a/</t>
        </is>
      </c>
    </row>
    <row r="1124">
      <c r="A1124" s="19" t="n">
        <v>1123</v>
      </c>
      <c r="B1124" s="20" t="inlineStr">
        <is>
          <t>Mario Javier  Yapur</t>
        </is>
      </c>
      <c r="C1124" s="14" t="inlineStr">
        <is>
          <t>Otorrinolaringologia nariz garganta oido</t>
        </is>
      </c>
      <c r="D1124" s="14" t="inlineStr">
        <is>
          <t>Nariz garganta y oido</t>
        </is>
      </c>
      <c r="E1124" s="19" t="n">
        <v>147</v>
      </c>
      <c r="F1124" s="19" t="n">
        <v>5462</v>
      </c>
      <c r="G1124" s="21" t="inlineStr">
        <is>
          <t>https://guiarsanrafael.com.ar/empresa/mario-javier-yapur/</t>
        </is>
      </c>
    </row>
    <row r="1125">
      <c r="A1125" s="22" t="n">
        <v>1124</v>
      </c>
      <c r="B1125" s="23" t="inlineStr">
        <is>
          <t>MARISA E. FERNADEZ DE CIAN</t>
        </is>
      </c>
      <c r="C1125" s="12" t="inlineStr">
        <is>
          <t>Institutos oftalmologicos oftalmologia oftalmologos</t>
        </is>
      </c>
      <c r="D1125" s="12" t="inlineStr">
        <is>
          <t>Centro oftalmologico</t>
        </is>
      </c>
      <c r="E1125" s="22" t="n">
        <v>139</v>
      </c>
      <c r="F1125" s="22" t="n">
        <v>5664</v>
      </c>
      <c r="G1125" s="24" t="inlineStr">
        <is>
          <t>https://guiarsanrafael.com.ar/empresa/marisa-e-fernadez-de-cian/</t>
        </is>
      </c>
    </row>
    <row r="1126">
      <c r="A1126" s="19" t="n">
        <v>1125</v>
      </c>
      <c r="B1126" s="20" t="inlineStr">
        <is>
          <t>MARISA FRANSISCO</t>
        </is>
      </c>
      <c r="C1126" s="14" t="inlineStr">
        <is>
          <t>Anatomia patologica</t>
        </is>
      </c>
      <c r="D1126" s="14" t="inlineStr">
        <is>
          <t>Anatomia patologica</t>
        </is>
      </c>
      <c r="E1126" s="19" t="n">
        <v>169</v>
      </c>
      <c r="F1126" s="19" t="n">
        <v>4592</v>
      </c>
      <c r="G1126" s="21" t="inlineStr">
        <is>
          <t>https://guiarsanrafael.com.ar/empresa/marisa-fransisco/</t>
        </is>
      </c>
    </row>
    <row r="1127">
      <c r="A1127" s="22" t="n">
        <v>1126</v>
      </c>
      <c r="B1127" s="23" t="inlineStr">
        <is>
          <t>Marisol  Orlando</t>
        </is>
      </c>
      <c r="C1127" s="12" t="inlineStr">
        <is>
          <t>Odontologia</t>
        </is>
      </c>
      <c r="D1127" s="12" t="inlineStr">
        <is>
          <t>Odontologia</t>
        </is>
      </c>
      <c r="E1127" s="22" t="n">
        <v>100</v>
      </c>
      <c r="F1127" s="22" t="n">
        <v>7454</v>
      </c>
      <c r="G1127" s="24" t="inlineStr">
        <is>
          <t>https://guiarsanrafael.com.ar/empresa/marisol-orlando/</t>
        </is>
      </c>
    </row>
    <row r="1128">
      <c r="A1128" s="19" t="n">
        <v>1127</v>
      </c>
      <c r="B1128" s="20" t="inlineStr">
        <is>
          <t>Mariángeles Pizarro</t>
        </is>
      </c>
      <c r="C1128" s="14" t="inlineStr">
        <is>
          <t>Psicologia</t>
        </is>
      </c>
      <c r="D1128" s="14" t="inlineStr">
        <is>
          <t>Psicologia</t>
        </is>
      </c>
      <c r="E1128" s="19" t="n">
        <v>144</v>
      </c>
      <c r="F1128" s="19" t="n">
        <v>5513</v>
      </c>
      <c r="G1128" s="21" t="inlineStr">
        <is>
          <t>https://guiarsanrafael.com.ar/empresa/mariangeles-pizarro-bombal-456-260-423-7623/</t>
        </is>
      </c>
    </row>
    <row r="1129">
      <c r="A1129" s="22" t="n">
        <v>1128</v>
      </c>
      <c r="B1129" s="23" t="inlineStr">
        <is>
          <t>MARLUK’S</t>
        </is>
      </c>
      <c r="C1129" s="12" t="inlineStr">
        <is>
          <t>Lubricantes aceites lubricentro</t>
        </is>
      </c>
      <c r="D1129" s="12" t="inlineStr">
        <is>
          <t>Lubricantes</t>
        </is>
      </c>
      <c r="E1129" s="22" t="n">
        <v>181</v>
      </c>
      <c r="F1129" s="22" t="n">
        <v>9354</v>
      </c>
      <c r="G1129" s="24" t="inlineStr">
        <is>
          <t>https://guiarsanrafael.com.ar/empresa/marluks/</t>
        </is>
      </c>
    </row>
    <row r="1130">
      <c r="A1130" s="19" t="n">
        <v>1129</v>
      </c>
      <c r="B1130" s="20" t="inlineStr">
        <is>
          <t>Marta Orce</t>
        </is>
      </c>
      <c r="C1130" s="14" t="inlineStr">
        <is>
          <t>Clinica medica</t>
        </is>
      </c>
      <c r="D1130" s="14" t="inlineStr">
        <is>
          <t>Clinica medica</t>
        </is>
      </c>
      <c r="E1130" s="19" t="n">
        <v>159</v>
      </c>
      <c r="F1130" s="19" t="n">
        <v>5287</v>
      </c>
      <c r="G1130" s="21" t="inlineStr">
        <is>
          <t>https://guiarsanrafael.com.ar/empresa/marta-orce/</t>
        </is>
      </c>
    </row>
    <row r="1131">
      <c r="A1131" s="22" t="n">
        <v>1130</v>
      </c>
      <c r="B1131" s="23" t="inlineStr">
        <is>
          <t>MARTHA RAQUEL DE NEVREZÉ</t>
        </is>
      </c>
      <c r="C1131" s="12" t="inlineStr">
        <is>
          <t>Contadores estudios contables</t>
        </is>
      </c>
      <c r="D1131" s="12" t="inlineStr">
        <is>
          <t>Contadores</t>
        </is>
      </c>
      <c r="E1131" s="22" t="n">
        <v>138</v>
      </c>
      <c r="F1131" s="22" t="n">
        <v>5756</v>
      </c>
      <c r="G1131" s="24" t="inlineStr">
        <is>
          <t>https://guiarsanrafael.com.ar/empresa/martha-raquel-de-nevreze/</t>
        </is>
      </c>
    </row>
    <row r="1132">
      <c r="A1132" s="19" t="n">
        <v>1131</v>
      </c>
      <c r="B1132" s="20" t="inlineStr">
        <is>
          <t>MARTIN ARAYA</t>
        </is>
      </c>
      <c r="C1132" s="14" t="inlineStr">
        <is>
          <t>Productor de seguros</t>
        </is>
      </c>
      <c r="D1132" s="14" t="inlineStr">
        <is>
          <t>Productor de seguros</t>
        </is>
      </c>
      <c r="E1132" s="19" t="n">
        <v>141</v>
      </c>
      <c r="F1132" s="19" t="n">
        <v>5542</v>
      </c>
      <c r="G1132" s="21" t="inlineStr">
        <is>
          <t>https://guiarsanrafael.com.ar/empresa/martin-araya/</t>
        </is>
      </c>
    </row>
    <row r="1133">
      <c r="A1133" s="22" t="n">
        <v>1132</v>
      </c>
      <c r="B1133" s="23" t="inlineStr">
        <is>
          <t>MARTIN BARBOD</t>
        </is>
      </c>
      <c r="C1133" s="12" t="inlineStr">
        <is>
          <t>Cirugia infantil cirujano cirujana</t>
        </is>
      </c>
      <c r="D1133" s="12" t="inlineStr">
        <is>
          <t>Cirugia infantil</t>
        </is>
      </c>
      <c r="E1133" s="22" t="n">
        <v>161</v>
      </c>
      <c r="F1133" s="22" t="n">
        <v>5266</v>
      </c>
      <c r="G1133" s="24" t="inlineStr">
        <is>
          <t>https://guiarsanrafael.com.ar/empresa/martin-barbod/</t>
        </is>
      </c>
    </row>
    <row r="1134">
      <c r="A1134" s="19" t="n">
        <v>1133</v>
      </c>
      <c r="B1134" s="20" t="inlineStr">
        <is>
          <t>MARTIN CODUTI</t>
        </is>
      </c>
      <c r="C1134" s="14" t="inlineStr">
        <is>
          <t>Cirugia oncologica</t>
        </is>
      </c>
      <c r="D1134" s="14" t="inlineStr">
        <is>
          <t>Cirugia ontologica</t>
        </is>
      </c>
      <c r="E1134" s="19" t="n">
        <v>96</v>
      </c>
      <c r="F1134" s="19" t="n">
        <v>7595</v>
      </c>
      <c r="G1134" s="21" t="inlineStr">
        <is>
          <t>https://guiarsanrafael.com.ar/empresa/martin-coduti/</t>
        </is>
      </c>
    </row>
    <row r="1135">
      <c r="A1135" s="22" t="n">
        <v>1134</v>
      </c>
      <c r="B1135" s="23" t="inlineStr">
        <is>
          <t>MARTIN LEROY</t>
        </is>
      </c>
      <c r="C1135" s="12" t="inlineStr">
        <is>
          <t>Medicina de familia</t>
        </is>
      </c>
      <c r="D1135" s="12" t="inlineStr">
        <is>
          <t>Medicina de familia</t>
        </is>
      </c>
      <c r="E1135" s="22" t="n">
        <v>121</v>
      </c>
      <c r="F1135" s="22" t="n">
        <v>6999</v>
      </c>
      <c r="G1135" s="24" t="inlineStr">
        <is>
          <t>https://guiarsanrafael.com.ar/empresa/martin-leroy/</t>
        </is>
      </c>
    </row>
    <row r="1136">
      <c r="A1136" s="19" t="n">
        <v>1135</v>
      </c>
      <c r="B1136" s="20" t="inlineStr">
        <is>
          <t>MARTIN WELCH Estilista</t>
        </is>
      </c>
      <c r="C1136" s="14" t="inlineStr">
        <is>
          <t>Centro de estetica</t>
        </is>
      </c>
      <c r="D1136" s="14" t="inlineStr">
        <is>
          <t>Barberias</t>
        </is>
      </c>
      <c r="E1136" s="19" t="n">
        <v>61</v>
      </c>
      <c r="F1136" s="19" t="n">
        <v>8773</v>
      </c>
      <c r="G1136" s="21" t="inlineStr">
        <is>
          <t>https://guiarsanrafael.com.ar/empresa/martin-welch-estilista/</t>
        </is>
      </c>
    </row>
    <row r="1137">
      <c r="A1137" s="22" t="n">
        <v>1136</v>
      </c>
      <c r="B1137" s="23" t="inlineStr">
        <is>
          <t>Martinez	Gisela Eliana</t>
        </is>
      </c>
      <c r="C1137" s="12" t="inlineStr">
        <is>
          <t>Abogados abogadas estudios juridicos</t>
        </is>
      </c>
      <c r="D1137" s="12" t="inlineStr">
        <is>
          <t>Abogadas</t>
        </is>
      </c>
      <c r="E1137" s="22" t="n">
        <v>110</v>
      </c>
      <c r="F1137" s="22" t="n">
        <v>7225</v>
      </c>
      <c r="G1137" s="24" t="inlineStr">
        <is>
          <t>https://guiarsanrafael.com.ar/empresa/martinezgisela-eliana/</t>
        </is>
      </c>
    </row>
    <row r="1138">
      <c r="A1138" s="19" t="n">
        <v>1137</v>
      </c>
      <c r="B1138" s="20" t="inlineStr">
        <is>
          <t>Martinez Ciriza Fátima Irene</t>
        </is>
      </c>
      <c r="C1138" s="14" t="inlineStr">
        <is>
          <t>Abogados abogadas estudios juridicos</t>
        </is>
      </c>
      <c r="D1138" s="14" t="inlineStr">
        <is>
          <t>Abogadas</t>
        </is>
      </c>
      <c r="E1138" s="19" t="n">
        <v>107</v>
      </c>
      <c r="F1138" s="19" t="n">
        <v>7263</v>
      </c>
      <c r="G1138" s="21" t="inlineStr">
        <is>
          <t>https://guiarsanrafael.com.ar/empresa/martinez-ciriza-fatima-irene/</t>
        </is>
      </c>
    </row>
    <row r="1139">
      <c r="A1139" s="22" t="n">
        <v>1138</v>
      </c>
      <c r="B1139" s="23" t="inlineStr">
        <is>
          <t>MARTINEZ Construcción &amp; Metalúrgica</t>
        </is>
      </c>
      <c r="C1139" s="12" t="inlineStr">
        <is>
          <t>Automatizaciones</t>
        </is>
      </c>
      <c r="D1139" s="12" t="inlineStr">
        <is>
          <t>Automatizaciones</t>
        </is>
      </c>
      <c r="E1139" s="22" t="n">
        <v>106</v>
      </c>
      <c r="F1139" s="22" t="n">
        <v>7275</v>
      </c>
      <c r="G1139" s="24" t="inlineStr">
        <is>
          <t>https://guiarsanrafael.com.ar/empresa/martinez-construccion-metalurgica/</t>
        </is>
      </c>
    </row>
    <row r="1140">
      <c r="A1140" s="19" t="n">
        <v>1139</v>
      </c>
      <c r="B1140" s="20" t="inlineStr">
        <is>
          <t>Martos Paula C.</t>
        </is>
      </c>
      <c r="C1140" s="14" t="inlineStr">
        <is>
          <t>Abogados abogadas estudios juridicos</t>
        </is>
      </c>
      <c r="D1140" s="14" t="inlineStr">
        <is>
          <t>Abogadas</t>
        </is>
      </c>
      <c r="E1140" s="19" t="n">
        <v>116</v>
      </c>
      <c r="F1140" s="19" t="n">
        <v>7147</v>
      </c>
      <c r="G1140" s="21" t="inlineStr">
        <is>
          <t>https://guiarsanrafael.com.ar/empresa/martos-paula-c/</t>
        </is>
      </c>
    </row>
    <row r="1141">
      <c r="A1141" s="22" t="n">
        <v>1140</v>
      </c>
      <c r="B1141" s="23" t="inlineStr">
        <is>
          <t>MARTÍN ALLONI Julieta</t>
        </is>
      </c>
      <c r="C1141" s="12" t="inlineStr">
        <is>
          <t>Escribanias escribanos escribanas mandatario mandataria notarios notarias</t>
        </is>
      </c>
      <c r="D1141" s="12" t="inlineStr">
        <is>
          <t>Escribanas</t>
        </is>
      </c>
      <c r="E1141" s="22" t="n">
        <v>82</v>
      </c>
      <c r="F1141" s="22" t="n">
        <v>8200</v>
      </c>
      <c r="G1141" s="24" t="inlineStr">
        <is>
          <t>https://guiarsanrafael.com.ar/empresa/martin-alloni-julieta/</t>
        </is>
      </c>
    </row>
    <row r="1142">
      <c r="A1142" s="19" t="n">
        <v>1141</v>
      </c>
      <c r="B1142" s="20" t="inlineStr">
        <is>
          <t>Martín Lubricantes</t>
        </is>
      </c>
      <c r="C1142" s="14" t="inlineStr">
        <is>
          <t>Lubricantes aceites lubricentro</t>
        </is>
      </c>
      <c r="D1142" s="14" t="inlineStr">
        <is>
          <t>Lubricantes</t>
        </is>
      </c>
      <c r="E1142" s="19" t="n">
        <v>50</v>
      </c>
      <c r="F1142" s="19" t="n">
        <v>9361</v>
      </c>
      <c r="G1142" s="21" t="inlineStr">
        <is>
          <t>https://guiarsanrafael.com.ar/empresa/martin-lubricantes/</t>
        </is>
      </c>
    </row>
    <row r="1143">
      <c r="A1143" s="22" t="n">
        <v>1142</v>
      </c>
      <c r="B1143" s="23" t="inlineStr">
        <is>
          <t>Martín Oliva</t>
        </is>
      </c>
      <c r="C1143" s="12" t="inlineStr">
        <is>
          <t>Institutos oftalmologicos oftalmologia oftalmologos</t>
        </is>
      </c>
      <c r="D1143" s="12" t="inlineStr">
        <is>
          <t>Instituto oftalmologico</t>
        </is>
      </c>
      <c r="E1143" s="22" t="n">
        <v>147</v>
      </c>
      <c r="F1143" s="22" t="n">
        <v>5451</v>
      </c>
      <c r="G1143" s="24" t="inlineStr">
        <is>
          <t>https://guiarsanrafael.com.ar/empresa/martin-oliva/</t>
        </is>
      </c>
    </row>
    <row r="1144">
      <c r="A1144" s="19" t="n">
        <v>1143</v>
      </c>
      <c r="B1144" s="20" t="inlineStr">
        <is>
          <t>MARTÍN QUIROGA</t>
        </is>
      </c>
      <c r="C1144" s="14" t="inlineStr">
        <is>
          <t>Odontologia</t>
        </is>
      </c>
      <c r="D1144" s="14" t="inlineStr">
        <is>
          <t>Odontologia</t>
        </is>
      </c>
      <c r="E1144" s="19" t="n">
        <v>140</v>
      </c>
      <c r="F1144" s="19" t="n">
        <v>5606</v>
      </c>
      <c r="G1144" s="21" t="inlineStr">
        <is>
          <t>https://guiarsanrafael.com.ar/empresa/martin-quiroga/</t>
        </is>
      </c>
    </row>
    <row r="1145">
      <c r="A1145" s="22" t="n">
        <v>1144</v>
      </c>
      <c r="B1145" s="23" t="inlineStr">
        <is>
          <t>Martín Taboas</t>
        </is>
      </c>
      <c r="C1145" s="12" t="inlineStr">
        <is>
          <t>Ginecologia y obsterticia</t>
        </is>
      </c>
      <c r="D1145" s="12" t="inlineStr">
        <is>
          <t>Ginecologia y obsterticia</t>
        </is>
      </c>
      <c r="E1145" s="22" t="n">
        <v>155</v>
      </c>
      <c r="F1145" s="22" t="n">
        <v>5343</v>
      </c>
      <c r="G1145" s="24" t="inlineStr">
        <is>
          <t>https://guiarsanrafael.com.ar/empresa/martin-taboas/</t>
        </is>
      </c>
    </row>
    <row r="1146">
      <c r="A1146" s="19" t="n">
        <v>1145</v>
      </c>
      <c r="B1146" s="20" t="inlineStr">
        <is>
          <t>María  Eugenia Baldi</t>
        </is>
      </c>
      <c r="C1146" s="14" t="inlineStr">
        <is>
          <t>Odontologia</t>
        </is>
      </c>
      <c r="D1146" s="14" t="inlineStr">
        <is>
          <t>Odontologia</t>
        </is>
      </c>
      <c r="E1146" s="19" t="n">
        <v>105</v>
      </c>
      <c r="F1146" s="19" t="n">
        <v>7362</v>
      </c>
      <c r="G1146" s="21" t="inlineStr">
        <is>
          <t>https://guiarsanrafael.com.ar/empresa/maria-eugenia-baldi/</t>
        </is>
      </c>
    </row>
    <row r="1147">
      <c r="A1147" s="22" t="n">
        <v>1146</v>
      </c>
      <c r="B1147" s="23" t="inlineStr">
        <is>
          <t>María  Fernanda Blas</t>
        </is>
      </c>
      <c r="C1147" s="12" t="inlineStr">
        <is>
          <t>Odontologia</t>
        </is>
      </c>
      <c r="D1147" s="12" t="inlineStr">
        <is>
          <t>Odontologia</t>
        </is>
      </c>
      <c r="E1147" s="22" t="n">
        <v>105</v>
      </c>
      <c r="F1147" s="22" t="n">
        <v>7366</v>
      </c>
      <c r="G1147" s="24" t="inlineStr">
        <is>
          <t>https://guiarsanrafael.com.ar/empresa/maria-fernanda-blas/</t>
        </is>
      </c>
    </row>
    <row r="1148">
      <c r="A1148" s="19" t="n">
        <v>1147</v>
      </c>
      <c r="B1148" s="20" t="inlineStr">
        <is>
          <t>María Alejandra Bittar</t>
        </is>
      </c>
      <c r="C1148" s="14" t="inlineStr">
        <is>
          <t>Oncologia</t>
        </is>
      </c>
      <c r="D1148" s="14" t="inlineStr">
        <is>
          <t>Oncologia</t>
        </is>
      </c>
      <c r="E1148" s="19" t="n">
        <v>147</v>
      </c>
      <c r="F1148" s="19" t="n">
        <v>5452</v>
      </c>
      <c r="G1148" s="21" t="inlineStr">
        <is>
          <t>https://guiarsanrafael.com.ar/empresa/maria-alejandra-bittar/</t>
        </is>
      </c>
    </row>
    <row r="1149">
      <c r="A1149" s="22" t="n">
        <v>1148</v>
      </c>
      <c r="B1149" s="23" t="inlineStr">
        <is>
          <t>MARÍA AYELÉN JUÁREZ</t>
        </is>
      </c>
      <c r="C1149" s="12" t="inlineStr">
        <is>
          <t>Nutricion nutricionistas</t>
        </is>
      </c>
      <c r="D1149" s="12" t="inlineStr">
        <is>
          <t>Nutricionistas</t>
        </is>
      </c>
      <c r="E1149" s="22" t="n">
        <v>120</v>
      </c>
      <c r="F1149" s="22" t="n">
        <v>7105</v>
      </c>
      <c r="G1149" s="24" t="inlineStr">
        <is>
          <t>https://guiarsanrafael.com.ar/empresa/maria-ayelen-juarez/</t>
        </is>
      </c>
    </row>
    <row r="1150">
      <c r="A1150" s="19" t="n">
        <v>1149</v>
      </c>
      <c r="B1150" s="20" t="inlineStr">
        <is>
          <t>MARÍA BELÉN AZCURRA</t>
        </is>
      </c>
      <c r="C1150" s="14" t="inlineStr">
        <is>
          <t>Ginecologia y obsterticia</t>
        </is>
      </c>
      <c r="D1150" s="14" t="inlineStr">
        <is>
          <t>Ginecologia y obsterticia</t>
        </is>
      </c>
      <c r="E1150" s="19" t="n">
        <v>165</v>
      </c>
      <c r="F1150" s="19" t="n">
        <v>4986</v>
      </c>
      <c r="G1150" s="21" t="inlineStr">
        <is>
          <t>https://guiarsanrafael.com.ar/empresa/maria-belen-azcurra/</t>
        </is>
      </c>
    </row>
    <row r="1151">
      <c r="A1151" s="22" t="n">
        <v>1150</v>
      </c>
      <c r="B1151" s="23" t="inlineStr">
        <is>
          <t>María Carolina Sequeiros</t>
        </is>
      </c>
      <c r="C1151" s="12" t="inlineStr">
        <is>
          <t>Kinesiologia y fisioterapia</t>
        </is>
      </c>
      <c r="D1151" s="12" t="inlineStr">
        <is>
          <t>Kinesiologia y fisioterapia</t>
        </is>
      </c>
      <c r="E1151" s="22" t="n">
        <v>151</v>
      </c>
      <c r="F1151" s="22" t="n">
        <v>5399</v>
      </c>
      <c r="G1151" s="24" t="inlineStr">
        <is>
          <t>https://guiarsanrafael.com.ar/empresa/maria-carolina-sequeiros/</t>
        </is>
      </c>
    </row>
    <row r="1152">
      <c r="A1152" s="19" t="n">
        <v>1151</v>
      </c>
      <c r="B1152" s="20" t="inlineStr">
        <is>
          <t>María Cecilia Kasjan</t>
        </is>
      </c>
      <c r="C1152" s="14" t="inlineStr">
        <is>
          <t>Kinesiologia y fisioterapia</t>
        </is>
      </c>
      <c r="D1152" s="14" t="inlineStr">
        <is>
          <t>Kinesiologia y fisioterapia</t>
        </is>
      </c>
      <c r="E1152" s="19" t="n">
        <v>152</v>
      </c>
      <c r="F1152" s="19" t="n">
        <v>5392</v>
      </c>
      <c r="G1152" s="21" t="inlineStr">
        <is>
          <t>https://guiarsanrafael.com.ar/empresa/maria-cecilia-kasjan/</t>
        </is>
      </c>
    </row>
    <row r="1153">
      <c r="A1153" s="22" t="n">
        <v>1152</v>
      </c>
      <c r="B1153" s="23" t="inlineStr">
        <is>
          <t>María Cecilia Sibantos</t>
        </is>
      </c>
      <c r="C1153" s="12" t="inlineStr">
        <is>
          <t>Odontologia</t>
        </is>
      </c>
      <c r="D1153" s="12" t="inlineStr">
        <is>
          <t>Odontologia</t>
        </is>
      </c>
      <c r="E1153" s="22" t="n">
        <v>99</v>
      </c>
      <c r="F1153" s="22" t="n">
        <v>7468</v>
      </c>
      <c r="G1153" s="24" t="inlineStr">
        <is>
          <t>https://guiarsanrafael.com.ar/empresa/maria-cecilia-sibantos/</t>
        </is>
      </c>
    </row>
    <row r="1154">
      <c r="A1154" s="19" t="n">
        <v>1153</v>
      </c>
      <c r="B1154" s="20" t="inlineStr">
        <is>
          <t>María Celia Cornejo</t>
        </is>
      </c>
      <c r="C1154" s="14" t="inlineStr">
        <is>
          <t>Clinica del lenguaje</t>
        </is>
      </c>
      <c r="D1154" s="14" t="inlineStr">
        <is>
          <t>Clinica del lenguaje</t>
        </is>
      </c>
      <c r="E1154" s="19" t="n">
        <v>157</v>
      </c>
      <c r="F1154" s="19" t="n">
        <v>5309</v>
      </c>
      <c r="G1154" s="21" t="inlineStr">
        <is>
          <t>https://guiarsanrafael.com.ar/empresa/maria-celia-cornejo/</t>
        </is>
      </c>
    </row>
    <row r="1155">
      <c r="A1155" s="22" t="n">
        <v>1154</v>
      </c>
      <c r="B1155" s="23" t="inlineStr">
        <is>
          <t>María Celina Olivares Ravalle</t>
        </is>
      </c>
      <c r="C1155" s="12" t="inlineStr">
        <is>
          <t>Odontologia</t>
        </is>
      </c>
      <c r="D1155" s="12" t="inlineStr">
        <is>
          <t>Odontologia</t>
        </is>
      </c>
      <c r="E1155" s="22" t="n">
        <v>99</v>
      </c>
      <c r="F1155" s="22" t="n">
        <v>7452</v>
      </c>
      <c r="G1155" s="24" t="inlineStr">
        <is>
          <t>https://guiarsanrafael.com.ar/empresa/maria-celina-olivares-ravalle/</t>
        </is>
      </c>
    </row>
    <row r="1156">
      <c r="A1156" s="19" t="n">
        <v>1155</v>
      </c>
      <c r="B1156" s="20" t="inlineStr">
        <is>
          <t>María Elena Encinas</t>
        </is>
      </c>
      <c r="C1156" s="14" t="inlineStr">
        <is>
          <t>Clinica del lenguaje</t>
        </is>
      </c>
      <c r="D1156" s="14" t="inlineStr">
        <is>
          <t>Clinica del lenguaje</t>
        </is>
      </c>
      <c r="E1156" s="19" t="n">
        <v>157</v>
      </c>
      <c r="F1156" s="19" t="n">
        <v>5311</v>
      </c>
      <c r="G1156" s="21" t="inlineStr">
        <is>
          <t>https://guiarsanrafael.com.ar/empresa/maria-elena-encinas/</t>
        </is>
      </c>
    </row>
    <row r="1157">
      <c r="A1157" s="22" t="n">
        <v>1156</v>
      </c>
      <c r="B1157" s="23" t="inlineStr">
        <is>
          <t>MARÍA EMILIA PERÉ</t>
        </is>
      </c>
      <c r="C1157" s="12" t="inlineStr">
        <is>
          <t>Implantes</t>
        </is>
      </c>
      <c r="D1157" s="12" t="inlineStr">
        <is>
          <t>Implantes</t>
        </is>
      </c>
      <c r="E1157" s="22" t="n">
        <v>56</v>
      </c>
      <c r="F1157" s="22" t="n">
        <v>9150</v>
      </c>
      <c r="G1157" s="24" t="inlineStr">
        <is>
          <t>https://guiarsanrafael.com.ar/empresa/maria-emilia-pere/</t>
        </is>
      </c>
    </row>
    <row r="1158">
      <c r="A1158" s="19" t="n">
        <v>1157</v>
      </c>
      <c r="B1158" s="20" t="inlineStr">
        <is>
          <t>María Eugenia Báez</t>
        </is>
      </c>
      <c r="C1158" s="14" t="inlineStr">
        <is>
          <t>Clinica medica</t>
        </is>
      </c>
      <c r="D1158" s="14" t="inlineStr">
        <is>
          <t>Clinica medica</t>
        </is>
      </c>
      <c r="E1158" s="19" t="n">
        <v>160</v>
      </c>
      <c r="F1158" s="19" t="n">
        <v>5279</v>
      </c>
      <c r="G1158" s="21" t="inlineStr">
        <is>
          <t>https://guiarsanrafael.com.ar/empresa/maria-eugenia-baez/</t>
        </is>
      </c>
    </row>
    <row r="1159">
      <c r="A1159" s="22" t="n">
        <v>1158</v>
      </c>
      <c r="B1159" s="23" t="inlineStr">
        <is>
          <t>MARÍA EUGENIA MORALES</t>
        </is>
      </c>
      <c r="C1159" s="12" t="inlineStr">
        <is>
          <t>Nutricion nutricionistas</t>
        </is>
      </c>
      <c r="D1159" s="12" t="inlineStr">
        <is>
          <t>Nutricionistas</t>
        </is>
      </c>
      <c r="E1159" s="22" t="n">
        <v>129</v>
      </c>
      <c r="F1159" s="22" t="n">
        <v>6435</v>
      </c>
      <c r="G1159" s="24" t="inlineStr">
        <is>
          <t>https://guiarsanrafael.com.ar/empresa/maria-eugenia-morales/</t>
        </is>
      </c>
    </row>
    <row r="1160">
      <c r="A1160" s="19" t="n">
        <v>1159</v>
      </c>
      <c r="B1160" s="20" t="inlineStr">
        <is>
          <t>María Eugenia Morganti</t>
        </is>
      </c>
      <c r="C1160" s="14" t="inlineStr">
        <is>
          <t>Odontologia</t>
        </is>
      </c>
      <c r="D1160" s="14" t="inlineStr">
        <is>
          <t>Odontologia</t>
        </is>
      </c>
      <c r="E1160" s="19" t="n">
        <v>101</v>
      </c>
      <c r="F1160" s="19" t="n">
        <v>7445</v>
      </c>
      <c r="G1160" s="21" t="inlineStr">
        <is>
          <t>https://guiarsanrafael.com.ar/empresa/maria-eugenia-morganti/</t>
        </is>
      </c>
    </row>
    <row r="1161">
      <c r="A1161" s="22" t="n">
        <v>1160</v>
      </c>
      <c r="B1161" s="23" t="inlineStr">
        <is>
          <t>María Florencia Azcárate</t>
        </is>
      </c>
      <c r="C1161" s="12" t="inlineStr">
        <is>
          <t>Psicologia</t>
        </is>
      </c>
      <c r="D1161" s="12" t="inlineStr">
        <is>
          <t>Psicologia</t>
        </is>
      </c>
      <c r="E1161" s="22" t="n">
        <v>145</v>
      </c>
      <c r="F1161" s="22" t="n">
        <v>5486</v>
      </c>
      <c r="G1161" s="24" t="inlineStr">
        <is>
          <t>https://guiarsanrafael.com.ar/empresa/maria-florencia-azcarate/</t>
        </is>
      </c>
    </row>
    <row r="1162">
      <c r="A1162" s="19" t="n">
        <v>1161</v>
      </c>
      <c r="B1162" s="20" t="inlineStr">
        <is>
          <t>María Florentina Tapia</t>
        </is>
      </c>
      <c r="C1162" s="14" t="inlineStr">
        <is>
          <t>Kinesiologia y fisioterapia</t>
        </is>
      </c>
      <c r="D1162" s="14" t="inlineStr">
        <is>
          <t>Kinesiologia y fisioterapia</t>
        </is>
      </c>
      <c r="E1162" s="19" t="n">
        <v>151</v>
      </c>
      <c r="F1162" s="19" t="n">
        <v>5401</v>
      </c>
      <c r="G1162" s="21" t="inlineStr">
        <is>
          <t>https://guiarsanrafael.com.ar/empresa/maria-florentina-tapia/</t>
        </is>
      </c>
    </row>
    <row r="1163">
      <c r="A1163" s="22" t="n">
        <v>1162</v>
      </c>
      <c r="B1163" s="23" t="inlineStr">
        <is>
          <t>María Inés Cruz Pérez</t>
        </is>
      </c>
      <c r="C1163" s="12" t="inlineStr">
        <is>
          <t>Ginecologia y obsterticia</t>
        </is>
      </c>
      <c r="D1163" s="12" t="inlineStr">
        <is>
          <t>Ginecologia y obsterticia</t>
        </is>
      </c>
      <c r="E1163" s="22" t="n">
        <v>155</v>
      </c>
      <c r="F1163" s="22" t="n">
        <v>5335</v>
      </c>
      <c r="G1163" s="24" t="inlineStr">
        <is>
          <t>https://guiarsanrafael.com.ar/empresa/maria-ines-cruz-perez/</t>
        </is>
      </c>
    </row>
    <row r="1164">
      <c r="A1164" s="19" t="n">
        <v>1163</v>
      </c>
      <c r="B1164" s="20" t="inlineStr">
        <is>
          <t>María Isabel Quiroga</t>
        </is>
      </c>
      <c r="C1164" s="14" t="inlineStr">
        <is>
          <t>Odontologia</t>
        </is>
      </c>
      <c r="D1164" s="14" t="inlineStr">
        <is>
          <t>Odontologia</t>
        </is>
      </c>
      <c r="E1164" s="19" t="n">
        <v>100</v>
      </c>
      <c r="F1164" s="19" t="n">
        <v>7462</v>
      </c>
      <c r="G1164" s="21" t="inlineStr">
        <is>
          <t>https://guiarsanrafael.com.ar/empresa/maria-isabel-quiroga/</t>
        </is>
      </c>
    </row>
    <row r="1165">
      <c r="A1165" s="22" t="n">
        <v>1164</v>
      </c>
      <c r="B1165" s="23" t="inlineStr">
        <is>
          <t>María Jimena Soria</t>
        </is>
      </c>
      <c r="C1165" s="12" t="inlineStr">
        <is>
          <t>Clinica del lenguaje</t>
        </is>
      </c>
      <c r="D1165" s="12" t="inlineStr">
        <is>
          <t>Clinica del lenguaje</t>
        </is>
      </c>
      <c r="E1165" s="22" t="n">
        <v>156</v>
      </c>
      <c r="F1165" s="22" t="n">
        <v>5325</v>
      </c>
      <c r="G1165" s="24" t="inlineStr">
        <is>
          <t>https://guiarsanrafael.com.ar/empresa/maria-jimena-soria/</t>
        </is>
      </c>
    </row>
    <row r="1166">
      <c r="A1166" s="19" t="n">
        <v>1165</v>
      </c>
      <c r="B1166" s="20" t="inlineStr">
        <is>
          <t>María Sol Santarossa</t>
        </is>
      </c>
      <c r="C1166" s="14" t="inlineStr">
        <is>
          <t>Psicologia</t>
        </is>
      </c>
      <c r="D1166" s="14" t="inlineStr">
        <is>
          <t>Psicologia</t>
        </is>
      </c>
      <c r="E1166" s="19" t="n">
        <v>144</v>
      </c>
      <c r="F1166" s="19" t="n">
        <v>5515</v>
      </c>
      <c r="G1166" s="21" t="inlineStr">
        <is>
          <t>https://guiarsanrafael.com.ar/empresa/maria-sol-santarossa/</t>
        </is>
      </c>
    </row>
    <row r="1167">
      <c r="A1167" s="22" t="n">
        <v>1166</v>
      </c>
      <c r="B1167" s="23" t="inlineStr">
        <is>
          <t>María Valeria Labbé</t>
        </is>
      </c>
      <c r="C1167" s="12" t="inlineStr">
        <is>
          <t>Odontologia</t>
        </is>
      </c>
      <c r="D1167" s="12" t="inlineStr">
        <is>
          <t>Odontologia</t>
        </is>
      </c>
      <c r="E1167" s="22" t="n">
        <v>102</v>
      </c>
      <c r="F1167" s="22" t="n">
        <v>7388</v>
      </c>
      <c r="G1167" s="24" t="inlineStr">
        <is>
          <t>https://guiarsanrafael.com.ar/empresa/maria-valeria-labbe/</t>
        </is>
      </c>
    </row>
    <row r="1168">
      <c r="A1168" s="19" t="n">
        <v>1167</v>
      </c>
      <c r="B1168" s="20" t="inlineStr">
        <is>
          <t>María Victoria García</t>
        </is>
      </c>
      <c r="C1168" s="14" t="inlineStr">
        <is>
          <t>Nutricion nutricionistas</t>
        </is>
      </c>
      <c r="D1168" s="14" t="inlineStr">
        <is>
          <t>Nutricionistas</t>
        </is>
      </c>
      <c r="E1168" s="19" t="n">
        <v>149</v>
      </c>
      <c r="F1168" s="19" t="n">
        <v>5425</v>
      </c>
      <c r="G1168" s="21" t="inlineStr">
        <is>
          <t>https://guiarsanrafael.com.ar/empresa/maria-victoria-garcia/</t>
        </is>
      </c>
    </row>
    <row r="1169">
      <c r="A1169" s="22" t="n">
        <v>1168</v>
      </c>
      <c r="B1169" s="23" t="inlineStr">
        <is>
          <t>María Virginia Sánchez</t>
        </is>
      </c>
      <c r="C1169" s="12" t="inlineStr">
        <is>
          <t>Pediatria neonatologia</t>
        </is>
      </c>
      <c r="D1169" s="12" t="inlineStr">
        <is>
          <t>Psicologia</t>
        </is>
      </c>
      <c r="E1169" s="22" t="n">
        <v>145</v>
      </c>
      <c r="F1169" s="22" t="n">
        <v>5484</v>
      </c>
      <c r="G1169" s="24" t="inlineStr">
        <is>
          <t>https://guiarsanrafael.com.ar/empresa/maria-virginia-sanchez/</t>
        </is>
      </c>
    </row>
    <row r="1170">
      <c r="A1170" s="19" t="n">
        <v>1169</v>
      </c>
      <c r="B1170" s="20" t="inlineStr">
        <is>
          <t>MAS COLOR  Pinturería</t>
        </is>
      </c>
      <c r="C1170" s="14" t="inlineStr">
        <is>
          <t>Pintura del automotor taller</t>
        </is>
      </c>
      <c r="D1170" s="14" t="inlineStr">
        <is>
          <t>Pintura del automotor</t>
        </is>
      </c>
      <c r="E1170" s="19" t="n">
        <v>10</v>
      </c>
      <c r="F1170" s="19" t="n">
        <v>13593</v>
      </c>
      <c r="G1170" s="21" t="inlineStr">
        <is>
          <t>https://guiarsanrafael.com.ar/empresa/mas-color-pintureria/</t>
        </is>
      </c>
    </row>
    <row r="1171">
      <c r="A1171" s="22" t="n">
        <v>1170</v>
      </c>
      <c r="B1171" s="23" t="inlineStr">
        <is>
          <t>MAS FERRETERIA</t>
        </is>
      </c>
      <c r="C1171" s="12" t="inlineStr">
        <is>
          <t>Ferreterias herramientas</t>
        </is>
      </c>
      <c r="D1171" s="12" t="inlineStr">
        <is>
          <t>Ferreterias</t>
        </is>
      </c>
      <c r="E1171" s="22" t="n">
        <v>13</v>
      </c>
      <c r="F1171" s="22" t="n">
        <v>13123</v>
      </c>
      <c r="G1171" s="24" t="inlineStr">
        <is>
          <t>https://guiarsanrafael.com.ar/empresa/mas-ferreteria/</t>
        </is>
      </c>
    </row>
    <row r="1172">
      <c r="A1172" s="19" t="n">
        <v>1171</v>
      </c>
      <c r="B1172" s="20" t="inlineStr">
        <is>
          <t>MAS Instituto Médico</t>
        </is>
      </c>
      <c r="C1172" s="14" t="inlineStr">
        <is>
          <t>Consultorios medicos</t>
        </is>
      </c>
      <c r="D1172" s="14" t="inlineStr">
        <is>
          <t>Consultorios medicos</t>
        </is>
      </c>
      <c r="E1172" s="19" t="n">
        <v>131</v>
      </c>
      <c r="F1172" s="19" t="n">
        <v>6280</v>
      </c>
      <c r="G1172" s="21" t="inlineStr">
        <is>
          <t>https://guiarsanrafael.com.ar/empresa/mas-instituto-medico/</t>
        </is>
      </c>
    </row>
    <row r="1173">
      <c r="A1173" s="22" t="n">
        <v>1172</v>
      </c>
      <c r="B1173" s="23" t="inlineStr">
        <is>
          <t>Mastrocola Paola J.</t>
        </is>
      </c>
      <c r="C1173" s="12" t="inlineStr">
        <is>
          <t>Abogados abogadas estudios juridicos</t>
        </is>
      </c>
      <c r="D1173" s="12" t="inlineStr">
        <is>
          <t>Abogadas</t>
        </is>
      </c>
      <c r="E1173" s="22" t="n">
        <v>117</v>
      </c>
      <c r="F1173" s="22" t="n">
        <v>7145</v>
      </c>
      <c r="G1173" s="24" t="inlineStr">
        <is>
          <t>https://guiarsanrafael.com.ar/empresa/mastrocola-paola-j/</t>
        </is>
      </c>
    </row>
    <row r="1174">
      <c r="A1174" s="19" t="n">
        <v>1173</v>
      </c>
      <c r="B1174" s="20" t="inlineStr">
        <is>
          <t>MATERIA PREMIUM</t>
        </is>
      </c>
      <c r="C1174" s="14" t="inlineStr">
        <is>
          <t>Almacen de yerbamate</t>
        </is>
      </c>
      <c r="D1174" s="14" t="inlineStr">
        <is>
          <t>Almacen de yerbamate</t>
        </is>
      </c>
      <c r="E1174" s="19" t="n">
        <v>25</v>
      </c>
      <c r="F1174" s="19" t="n">
        <v>11627</v>
      </c>
      <c r="G1174" s="21" t="inlineStr">
        <is>
          <t>https://guiarsanrafael.com.ar/empresa/materia-premium/</t>
        </is>
      </c>
    </row>
    <row r="1175">
      <c r="A1175" s="22" t="n">
        <v>1174</v>
      </c>
      <c r="B1175" s="23" t="inlineStr">
        <is>
          <t>MATERVI Productos y Servicios</t>
        </is>
      </c>
      <c r="C1175" s="12" t="inlineStr">
        <is>
          <t>Alimentos balanceados</t>
        </is>
      </c>
      <c r="D1175" s="12" t="inlineStr">
        <is>
          <t>Alimentos balanceados</t>
        </is>
      </c>
      <c r="E1175" s="22" t="n">
        <v>11</v>
      </c>
      <c r="F1175" s="22" t="n">
        <v>13349</v>
      </c>
      <c r="G1175" s="24" t="inlineStr">
        <is>
          <t>https://guiarsanrafael.com.ar/empresa/matervi-productos-y-servicios/</t>
        </is>
      </c>
    </row>
    <row r="1176">
      <c r="A1176" s="19" t="n">
        <v>1175</v>
      </c>
      <c r="B1176" s="20" t="inlineStr">
        <is>
          <t>MATIAS CARO</t>
        </is>
      </c>
      <c r="C1176" s="14" t="inlineStr">
        <is>
          <t>Veterinarios</t>
        </is>
      </c>
      <c r="D1176" s="14" t="inlineStr">
        <is>
          <t>Veterinarios</t>
        </is>
      </c>
      <c r="E1176" s="19" t="n">
        <v>135</v>
      </c>
      <c r="F1176" s="19" t="n">
        <v>6006</v>
      </c>
      <c r="G1176" s="21" t="inlineStr">
        <is>
          <t>https://guiarsanrafael.com.ar/empresa/matias-caro/</t>
        </is>
      </c>
    </row>
    <row r="1177">
      <c r="A1177" s="22" t="n">
        <v>1176</v>
      </c>
      <c r="B1177" s="23" t="inlineStr">
        <is>
          <t>MATIAS PONTE LAFALLA</t>
        </is>
      </c>
      <c r="C1177" s="12" t="inlineStr">
        <is>
          <t>Centro de estetica</t>
        </is>
      </c>
      <c r="D1177" s="12" t="inlineStr">
        <is>
          <t>Cirugia estetica</t>
        </is>
      </c>
      <c r="E1177" s="22" t="n">
        <v>13</v>
      </c>
      <c r="F1177" s="22" t="n">
        <v>12989</v>
      </c>
      <c r="G1177" s="24" t="inlineStr">
        <is>
          <t>https://guiarsanrafael.com.ar/empresa/matias-ponte-lafalla/</t>
        </is>
      </c>
    </row>
    <row r="1178">
      <c r="A1178" s="19" t="n">
        <v>1177</v>
      </c>
      <c r="B1178" s="20" t="inlineStr">
        <is>
          <t>MATIAS ZANETTI</t>
        </is>
      </c>
      <c r="C1178" s="14" t="inlineStr">
        <is>
          <t>Gastroenterologia</t>
        </is>
      </c>
      <c r="D1178" s="14" t="inlineStr">
        <is>
          <t>Gastroenterologia</t>
        </is>
      </c>
      <c r="E1178" s="19" t="n">
        <v>105</v>
      </c>
      <c r="F1178" s="19" t="n">
        <v>7312</v>
      </c>
      <c r="G1178" s="21" t="inlineStr">
        <is>
          <t>https://guiarsanrafael.com.ar/empresa/matias-zanetti/</t>
        </is>
      </c>
    </row>
    <row r="1179">
      <c r="A1179" s="22" t="n">
        <v>1178</v>
      </c>
      <c r="B1179" s="23" t="inlineStr">
        <is>
          <t>MATTY RULO Barber Shop</t>
        </is>
      </c>
      <c r="C1179" s="12" t="inlineStr">
        <is>
          <t>Barberias peluqueria barberos</t>
        </is>
      </c>
      <c r="D1179" s="12" t="inlineStr">
        <is>
          <t>Barberias</t>
        </is>
      </c>
      <c r="E1179" s="22" t="n">
        <v>138</v>
      </c>
      <c r="F1179" s="22" t="n">
        <v>5765</v>
      </c>
      <c r="G1179" s="24" t="inlineStr">
        <is>
          <t>https://guiarsanrafael.com.ar/empresa/mattyrulo-barber-shop/</t>
        </is>
      </c>
    </row>
    <row r="1180">
      <c r="A1180" s="19" t="n">
        <v>1179</v>
      </c>
      <c r="B1180" s="20" t="inlineStr">
        <is>
          <t>MAURICIO ALESSIO</t>
        </is>
      </c>
      <c r="C1180" s="14" t="inlineStr">
        <is>
          <t>Protesistas protesis</t>
        </is>
      </c>
      <c r="D1180" s="14" t="inlineStr">
        <is>
          <t>Laboratorio dental</t>
        </is>
      </c>
      <c r="E1180" s="19" t="n">
        <v>97</v>
      </c>
      <c r="F1180" s="19" t="n">
        <v>7573</v>
      </c>
      <c r="G1180" s="21" t="inlineStr">
        <is>
          <t>https://guiarsanrafael.com.ar/empresa/mauricio-alessio/</t>
        </is>
      </c>
    </row>
    <row r="1181">
      <c r="A1181" s="22" t="n">
        <v>1180</v>
      </c>
      <c r="B1181" s="23" t="inlineStr">
        <is>
          <t>MAURICIO DELLAGNOLO</t>
        </is>
      </c>
      <c r="C1181" s="12" t="inlineStr">
        <is>
          <t>Abogados abogadas estudios juridicos</t>
        </is>
      </c>
      <c r="D1181" s="12" t="inlineStr">
        <is>
          <t>Abogados</t>
        </is>
      </c>
      <c r="E1181" s="22" t="n">
        <v>89</v>
      </c>
      <c r="F1181" s="22" t="n">
        <v>7954</v>
      </c>
      <c r="G1181" s="24" t="inlineStr">
        <is>
          <t>https://guiarsanrafael.com.ar/empresa/7954/</t>
        </is>
      </c>
    </row>
    <row r="1182">
      <c r="A1182" s="19" t="n">
        <v>1181</v>
      </c>
      <c r="B1182" s="20" t="inlineStr">
        <is>
          <t>MAX OPTICA</t>
        </is>
      </c>
      <c r="C1182" s="14" t="inlineStr">
        <is>
          <t>Contactologia</t>
        </is>
      </c>
      <c r="D1182" s="14" t="inlineStr">
        <is>
          <t>Contactologia</t>
        </is>
      </c>
      <c r="E1182" s="19" t="n">
        <v>167</v>
      </c>
      <c r="F1182" s="19" t="n">
        <v>4788</v>
      </c>
      <c r="G1182" s="21" t="inlineStr">
        <is>
          <t>https://guiarsanrafael.com.ar/empresa/max-optica/</t>
        </is>
      </c>
    </row>
    <row r="1183">
      <c r="A1183" s="22" t="n">
        <v>1182</v>
      </c>
      <c r="B1183" s="23" t="inlineStr">
        <is>
          <t>MAYA CORNEJO</t>
        </is>
      </c>
      <c r="C1183" s="12" t="inlineStr">
        <is>
          <t>Psicologia</t>
        </is>
      </c>
      <c r="D1183" s="12" t="inlineStr">
        <is>
          <t>Psicologia</t>
        </is>
      </c>
      <c r="E1183" s="22" t="n">
        <v>11</v>
      </c>
      <c r="F1183" s="22" t="n">
        <v>13300</v>
      </c>
      <c r="G1183" s="24" t="inlineStr">
        <is>
          <t>https://guiarsanrafael.com.ar/empresa/maya-cornejo/</t>
        </is>
      </c>
    </row>
    <row r="1184">
      <c r="A1184" s="19" t="n">
        <v>1183</v>
      </c>
      <c r="B1184" s="20" t="inlineStr">
        <is>
          <t>Maya Leandro Andrés</t>
        </is>
      </c>
      <c r="C1184" s="14" t="inlineStr">
        <is>
          <t>Abogados abogadas estudios juridicos</t>
        </is>
      </c>
      <c r="D1184" s="14" t="inlineStr">
        <is>
          <t>Abogados</t>
        </is>
      </c>
      <c r="E1184" s="19" t="n">
        <v>111</v>
      </c>
      <c r="F1184" s="19" t="n">
        <v>7204</v>
      </c>
      <c r="G1184" s="21" t="inlineStr">
        <is>
          <t>https://guiarsanrafael.com.ar/empresa/maya-leandro-andres/</t>
        </is>
      </c>
    </row>
    <row r="1185">
      <c r="A1185" s="22" t="n">
        <v>1184</v>
      </c>
      <c r="B1185" s="23" t="inlineStr">
        <is>
          <t>Mayra Carallós</t>
        </is>
      </c>
      <c r="C1185" s="12" t="inlineStr">
        <is>
          <t>Kinesiologia y fisioterapia</t>
        </is>
      </c>
      <c r="D1185" s="12" t="inlineStr">
        <is>
          <t>Kinesiologia y fisioterapia</t>
        </is>
      </c>
      <c r="E1185" s="22" t="n">
        <v>153</v>
      </c>
      <c r="F1185" s="22" t="n">
        <v>5379</v>
      </c>
      <c r="G1185" s="24" t="inlineStr">
        <is>
          <t>https://guiarsanrafael.com.ar/empresa/mayra-carallos/</t>
        </is>
      </c>
    </row>
    <row r="1186">
      <c r="A1186" s="19" t="n">
        <v>1185</v>
      </c>
      <c r="B1186" s="20" t="inlineStr">
        <is>
          <t>MAYRA VILCHEZ</t>
        </is>
      </c>
      <c r="C1186" s="14" t="inlineStr">
        <is>
          <t>Nutricion nutricionistas</t>
        </is>
      </c>
      <c r="D1186" s="14" t="inlineStr">
        <is>
          <t>Nutricionistas</t>
        </is>
      </c>
      <c r="E1186" s="19" t="n">
        <v>35</v>
      </c>
      <c r="F1186" s="19" t="n">
        <v>10339</v>
      </c>
      <c r="G1186" s="21" t="inlineStr">
        <is>
          <t>https://guiarsanrafael.com.ar/empresa/mayra-vilchez/</t>
        </is>
      </c>
    </row>
    <row r="1187">
      <c r="A1187" s="22" t="n">
        <v>1186</v>
      </c>
      <c r="B1187" s="23" t="inlineStr">
        <is>
          <t>MC Racing</t>
        </is>
      </c>
      <c r="C1187" s="12" t="inlineStr">
        <is>
          <t>Diagnostico computarizado mecanica</t>
        </is>
      </c>
      <c r="D1187" s="12" t="inlineStr">
        <is>
          <t>Diagnostico computarizado</t>
        </is>
      </c>
      <c r="E1187" s="22" t="n">
        <v>133</v>
      </c>
      <c r="F1187" s="22" t="n">
        <v>6131</v>
      </c>
      <c r="G1187" s="24" t="inlineStr">
        <is>
          <t>https://guiarsanrafael.com.ar/empresa/mc-racing/</t>
        </is>
      </c>
    </row>
    <row r="1188">
      <c r="A1188" s="19" t="n">
        <v>1187</v>
      </c>
      <c r="B1188" s="20" t="inlineStr">
        <is>
          <t>MC Repuestos</t>
        </is>
      </c>
      <c r="C1188" s="14" t="inlineStr">
        <is>
          <t>Electricidad del automotor</t>
        </is>
      </c>
      <c r="D1188" s="14" t="inlineStr">
        <is>
          <t>Electricidad del automotor</t>
        </is>
      </c>
      <c r="E1188" s="19" t="n">
        <v>122</v>
      </c>
      <c r="F1188" s="19" t="n">
        <v>6910</v>
      </c>
      <c r="G1188" s="21" t="inlineStr">
        <is>
          <t>https://guiarsanrafael.com.ar/empresa/mc-repuestos/</t>
        </is>
      </c>
    </row>
    <row r="1189">
      <c r="A1189" s="22" t="n">
        <v>1188</v>
      </c>
      <c r="B1189" s="23" t="inlineStr">
        <is>
          <t>MDT Materiales Deportivos</t>
        </is>
      </c>
      <c r="C1189" s="12" t="inlineStr">
        <is>
          <t>Accesorios deportivos</t>
        </is>
      </c>
      <c r="D1189" s="12" t="inlineStr">
        <is>
          <t>Accesorios deportivos</t>
        </is>
      </c>
      <c r="E1189" s="22" t="n">
        <v>20</v>
      </c>
      <c r="F1189" s="22" t="n">
        <v>12250</v>
      </c>
      <c r="G1189" s="24" t="inlineStr">
        <is>
          <t>https://guiarsanrafael.com.ar/empresa/mdt-materiales-deportivos/</t>
        </is>
      </c>
    </row>
    <row r="1190">
      <c r="A1190" s="19" t="n">
        <v>1189</v>
      </c>
      <c r="B1190" s="20" t="inlineStr">
        <is>
          <t>MECANICA CARLOS MUÑOZ</t>
        </is>
      </c>
      <c r="C1190" s="14" t="inlineStr">
        <is>
          <t>Diagnostico computarizado mecanica</t>
        </is>
      </c>
      <c r="D1190" s="14" t="inlineStr">
        <is>
          <t>Diagnostico computarizado</t>
        </is>
      </c>
      <c r="E1190" s="19" t="n">
        <v>121</v>
      </c>
      <c r="F1190" s="19" t="n">
        <v>7013</v>
      </c>
      <c r="G1190" s="21" t="inlineStr">
        <is>
          <t>https://guiarsanrafael.com.ar/empresa/mecanica-carlos-munoz/</t>
        </is>
      </c>
    </row>
    <row r="1191">
      <c r="A1191" s="22" t="n">
        <v>1190</v>
      </c>
      <c r="B1191" s="23" t="inlineStr">
        <is>
          <t>MECANICA SALINAS</t>
        </is>
      </c>
      <c r="C1191" s="12" t="inlineStr">
        <is>
          <t>Diagnostico computarizado mecanica</t>
        </is>
      </c>
      <c r="D1191" s="12" t="inlineStr">
        <is>
          <t>Diagnostico computarizado</t>
        </is>
      </c>
      <c r="E1191" s="22" t="n">
        <v>173</v>
      </c>
      <c r="F1191" s="22" t="n">
        <v>4145</v>
      </c>
      <c r="G1191" s="24" t="inlineStr">
        <is>
          <t>https://guiarsanrafael.com.ar/empresa/mecanica-salinas/</t>
        </is>
      </c>
    </row>
    <row r="1192">
      <c r="A1192" s="19" t="n">
        <v>1191</v>
      </c>
      <c r="B1192" s="20" t="inlineStr">
        <is>
          <t>Mecánica Campos</t>
        </is>
      </c>
      <c r="C1192" s="14" t="inlineStr">
        <is>
          <t>Mecanica del automotor automotriz</t>
        </is>
      </c>
      <c r="D1192" s="14" t="inlineStr">
        <is>
          <t>Mecanica del automotor</t>
        </is>
      </c>
      <c r="E1192" s="19" t="n">
        <v>69</v>
      </c>
      <c r="F1192" s="19" t="n">
        <v>8479</v>
      </c>
      <c r="G1192" s="21" t="inlineStr">
        <is>
          <t>https://guiarsanrafael.com.ar/empresa/mecanica-campos/</t>
        </is>
      </c>
    </row>
    <row r="1193">
      <c r="A1193" s="22" t="n">
        <v>1192</v>
      </c>
      <c r="B1193" s="23" t="inlineStr">
        <is>
          <t>Mecánica Franceschini</t>
        </is>
      </c>
      <c r="C1193" s="12" t="inlineStr">
        <is>
          <t>Alineacion y balanceo</t>
        </is>
      </c>
      <c r="D1193" s="12" t="inlineStr">
        <is>
          <t>Alineacion y balanceo</t>
        </is>
      </c>
      <c r="E1193" s="22" t="n">
        <v>74</v>
      </c>
      <c r="F1193" s="22" t="n">
        <v>8420</v>
      </c>
      <c r="G1193" s="24" t="inlineStr">
        <is>
          <t>https://guiarsanrafael.com.ar/empresa/mecanica-franceschini/</t>
        </is>
      </c>
    </row>
    <row r="1194">
      <c r="A1194" s="19" t="n">
        <v>1193</v>
      </c>
      <c r="B1194" s="20" t="inlineStr">
        <is>
          <t>Mecánica Pedrosa</t>
        </is>
      </c>
      <c r="C1194" s="14" t="inlineStr">
        <is>
          <t>Mecanica del automotor automotriz</t>
        </is>
      </c>
      <c r="D1194" s="14" t="inlineStr">
        <is>
          <t>Mecanica del automotor</t>
        </is>
      </c>
      <c r="E1194" s="19" t="n">
        <v>69</v>
      </c>
      <c r="F1194" s="19" t="n">
        <v>8481</v>
      </c>
      <c r="G1194" s="21" t="inlineStr">
        <is>
          <t>https://guiarsanrafael.com.ar/empresa/mecanica-pedrosa/</t>
        </is>
      </c>
    </row>
    <row r="1195">
      <c r="A1195" s="22" t="n">
        <v>1194</v>
      </c>
      <c r="B1195" s="23" t="inlineStr">
        <is>
          <t>Medde María Belén</t>
        </is>
      </c>
      <c r="C1195" s="12" t="inlineStr">
        <is>
          <t>Abogados abogadas estudios juridicos</t>
        </is>
      </c>
      <c r="D1195" s="12" t="inlineStr">
        <is>
          <t>Abogadas</t>
        </is>
      </c>
      <c r="E1195" s="22" t="n">
        <v>118</v>
      </c>
      <c r="F1195" s="22" t="n">
        <v>7132</v>
      </c>
      <c r="G1195" s="24" t="inlineStr">
        <is>
          <t>https://guiarsanrafael.com.ar/empresa/medde-maria-belen/</t>
        </is>
      </c>
    </row>
    <row r="1196">
      <c r="A1196" s="19" t="n">
        <v>1195</v>
      </c>
      <c r="B1196" s="20" t="inlineStr">
        <is>
          <t>MEGA MADERA s.r.l.</t>
        </is>
      </c>
      <c r="C1196" s="14" t="inlineStr">
        <is>
          <t>Amoblamientos</t>
        </is>
      </c>
      <c r="D1196" s="14" t="inlineStr">
        <is>
          <t>Amoblamientos</t>
        </is>
      </c>
      <c r="E1196" s="19" t="n">
        <v>169</v>
      </c>
      <c r="F1196" s="19" t="n">
        <v>4564</v>
      </c>
      <c r="G1196" s="21" t="inlineStr">
        <is>
          <t>https://guiarsanrafael.com.ar/empresa/mega-madera-s-r-l/</t>
        </is>
      </c>
    </row>
    <row r="1197">
      <c r="A1197" s="22" t="n">
        <v>1196</v>
      </c>
      <c r="B1197" s="23" t="inlineStr">
        <is>
          <t>MEGAZORD Comics</t>
        </is>
      </c>
      <c r="C1197" s="12" t="inlineStr">
        <is>
          <t>Comiqueria juguetria</t>
        </is>
      </c>
      <c r="D1197" s="12" t="inlineStr">
        <is>
          <t>Comiqueria</t>
        </is>
      </c>
      <c r="E1197" s="22" t="n">
        <v>77</v>
      </c>
      <c r="F1197" s="22" t="n">
        <v>8292</v>
      </c>
      <c r="G1197" s="24" t="inlineStr">
        <is>
          <t>https://guiarsanrafael.com.ar/empresa/megazord-comics/</t>
        </is>
      </c>
    </row>
    <row r="1198">
      <c r="A1198" s="19" t="n">
        <v>1197</v>
      </c>
      <c r="B1198" s="20" t="inlineStr">
        <is>
          <t>MELINA CRESPO</t>
        </is>
      </c>
      <c r="C1198" s="14" t="inlineStr">
        <is>
          <t>Cardiologia medico cardiologo</t>
        </is>
      </c>
      <c r="D1198" s="14" t="inlineStr">
        <is>
          <t>Cardiologia</t>
        </is>
      </c>
      <c r="E1198" s="19" t="n">
        <v>132</v>
      </c>
      <c r="F1198" s="19" t="n">
        <v>6232</v>
      </c>
      <c r="G1198" s="21" t="inlineStr">
        <is>
          <t>https://guiarsanrafael.com.ar/empresa/melina-crespo/</t>
        </is>
      </c>
    </row>
    <row r="1199">
      <c r="A1199" s="22" t="n">
        <v>1198</v>
      </c>
      <c r="B1199" s="23" t="inlineStr">
        <is>
          <t>Melisa Daniela López</t>
        </is>
      </c>
      <c r="C1199" s="12" t="inlineStr">
        <is>
          <t>Psicologia</t>
        </is>
      </c>
      <c r="D1199" s="12" t="inlineStr">
        <is>
          <t>Psicologia</t>
        </is>
      </c>
      <c r="E1199" s="22" t="n">
        <v>144</v>
      </c>
      <c r="F1199" s="22" t="n">
        <v>5505</v>
      </c>
      <c r="G1199" s="24" t="inlineStr">
        <is>
          <t>https://guiarsanrafael.com.ar/empresa/melisa-daniela-lopez/</t>
        </is>
      </c>
    </row>
    <row r="1200">
      <c r="A1200" s="19" t="n">
        <v>1199</v>
      </c>
      <c r="B1200" s="20" t="inlineStr">
        <is>
          <t>Melisa Fuentes</t>
        </is>
      </c>
      <c r="C1200" s="14" t="inlineStr">
        <is>
          <t>Psicologia</t>
        </is>
      </c>
      <c r="D1200" s="14" t="inlineStr">
        <is>
          <t>Psicologia</t>
        </is>
      </c>
      <c r="E1200" s="19" t="n">
        <v>145</v>
      </c>
      <c r="F1200" s="19" t="n">
        <v>5503</v>
      </c>
      <c r="G1200" s="21" t="inlineStr">
        <is>
          <t>https://guiarsanrafael.com.ar/empresa/melisa-fuentes/</t>
        </is>
      </c>
    </row>
    <row r="1201">
      <c r="A1201" s="22" t="n">
        <v>1200</v>
      </c>
      <c r="B1201" s="23" t="inlineStr">
        <is>
          <t>MELISA LÓPEZ</t>
        </is>
      </c>
      <c r="C1201" s="12" t="inlineStr">
        <is>
          <t>Kinesiologia y fisioterapia</t>
        </is>
      </c>
      <c r="D1201" s="12" t="inlineStr">
        <is>
          <t>Centro de rehabilitacion</t>
        </is>
      </c>
      <c r="E1201" s="22" t="n">
        <v>106</v>
      </c>
      <c r="F1201" s="22" t="n">
        <v>7295</v>
      </c>
      <c r="G1201" s="24" t="inlineStr">
        <is>
          <t>https://guiarsanrafael.com.ar/empresa/melisa-lopez/</t>
        </is>
      </c>
    </row>
    <row r="1202">
      <c r="A1202" s="19" t="n">
        <v>1201</v>
      </c>
      <c r="B1202" s="20" t="inlineStr">
        <is>
          <t>MELISA QUIROGA</t>
        </is>
      </c>
      <c r="C1202" s="14" t="inlineStr">
        <is>
          <t>Odontologia</t>
        </is>
      </c>
      <c r="D1202" s="14" t="inlineStr">
        <is>
          <t>Odontologia</t>
        </is>
      </c>
      <c r="E1202" s="19" t="n">
        <v>164</v>
      </c>
      <c r="F1202" s="19" t="n">
        <v>5038</v>
      </c>
      <c r="G1202" s="21" t="inlineStr">
        <is>
          <t>https://guiarsanrafael.com.ar/empresa/melisa-quiroga/</t>
        </is>
      </c>
    </row>
    <row r="1203">
      <c r="A1203" s="22" t="n">
        <v>1202</v>
      </c>
      <c r="B1203" s="23" t="inlineStr">
        <is>
          <t>MEMORIAL Salas Velatorias</t>
        </is>
      </c>
      <c r="C1203" s="12" t="inlineStr">
        <is>
          <t>Sala de velatorios cremaciones cocherias</t>
        </is>
      </c>
      <c r="D1203" s="12" t="inlineStr">
        <is>
          <t>Cocherias</t>
        </is>
      </c>
      <c r="E1203" s="22" t="n">
        <v>173</v>
      </c>
      <c r="F1203" s="22" t="n">
        <v>4240</v>
      </c>
      <c r="G1203" s="24" t="inlineStr">
        <is>
          <t>https://guiarsanrafael.com.ar/empresa/memorial-salas-velatorias/</t>
        </is>
      </c>
    </row>
    <row r="1204">
      <c r="A1204" s="19" t="n">
        <v>1203</v>
      </c>
      <c r="B1204" s="20" t="inlineStr">
        <is>
          <t>Mendez Gisela del R.</t>
        </is>
      </c>
      <c r="C1204" s="14" t="inlineStr">
        <is>
          <t>Abogados abogadas estudios juridicos</t>
        </is>
      </c>
      <c r="D1204" s="14" t="inlineStr">
        <is>
          <t>Abogadas</t>
        </is>
      </c>
      <c r="E1204" s="19" t="n">
        <v>114</v>
      </c>
      <c r="F1204" s="19" t="n">
        <v>7179</v>
      </c>
      <c r="G1204" s="21" t="inlineStr">
        <is>
          <t>https://guiarsanrafael.com.ar/empresa/mendez-gisela-del-r/</t>
        </is>
      </c>
    </row>
    <row r="1205">
      <c r="A1205" s="22" t="n">
        <v>1204</v>
      </c>
      <c r="B1205" s="23" t="inlineStr">
        <is>
          <t>MENDOZA Bienes Raíces</t>
        </is>
      </c>
      <c r="C1205" s="12" t="inlineStr">
        <is>
          <t>Inmobiliarias alquileres lotes corredor publico inmobiliario administraciones</t>
        </is>
      </c>
      <c r="D1205" s="12" t="inlineStr">
        <is>
          <t>Bienes raises</t>
        </is>
      </c>
      <c r="E1205" s="22" t="n">
        <v>172</v>
      </c>
      <c r="F1205" s="22" t="n">
        <v>4269</v>
      </c>
      <c r="G1205" s="24" t="inlineStr">
        <is>
          <t>https://guiarsanrafael.com.ar/empresa/mendoza-bienes-raices/</t>
        </is>
      </c>
    </row>
    <row r="1206">
      <c r="A1206" s="19" t="n">
        <v>1205</v>
      </c>
      <c r="B1206" s="20" t="inlineStr">
        <is>
          <t>Mendoza Textil Living San Rafael</t>
        </is>
      </c>
      <c r="C1206" s="14" t="inlineStr">
        <is>
          <t>Mueblerias muebles de oficina</t>
        </is>
      </c>
      <c r="D1206" s="14" t="inlineStr">
        <is>
          <t>Mueblerias</t>
        </is>
      </c>
      <c r="E1206" s="19" t="n">
        <v>17</v>
      </c>
      <c r="F1206" s="19" t="n">
        <v>12567</v>
      </c>
      <c r="G1206" s="21" t="inlineStr">
        <is>
          <t>https://guiarsanrafael.com.ar/empresa/mendoza-textil-living-san-rafael/</t>
        </is>
      </c>
    </row>
    <row r="1207">
      <c r="A1207" s="22" t="n">
        <v>1206</v>
      </c>
      <c r="B1207" s="23" t="inlineStr">
        <is>
          <t>MERCADO Maria Sol</t>
        </is>
      </c>
      <c r="C1207" s="12" t="inlineStr">
        <is>
          <t>Escribanias escribanos escribanas mandatario mandataria notarios notarias</t>
        </is>
      </c>
      <c r="D1207" s="12" t="inlineStr">
        <is>
          <t>Escribanas</t>
        </is>
      </c>
      <c r="E1207" s="22" t="n">
        <v>82</v>
      </c>
      <c r="F1207" s="22" t="n">
        <v>8201</v>
      </c>
      <c r="G1207" s="24" t="inlineStr">
        <is>
          <t>https://guiarsanrafael.com.ar/empresa/mercado-maria-sol/</t>
        </is>
      </c>
    </row>
    <row r="1208">
      <c r="A1208" s="19" t="n">
        <v>1207</v>
      </c>
      <c r="B1208" s="20" t="inlineStr">
        <is>
          <t>Mercau Lucas Sebastián</t>
        </is>
      </c>
      <c r="C1208" s="14" t="inlineStr">
        <is>
          <t>Abogados abogadas estudios juridicos</t>
        </is>
      </c>
      <c r="D1208" s="14" t="inlineStr">
        <is>
          <t>Abogados</t>
        </is>
      </c>
      <c r="E1208" s="19" t="n">
        <v>117</v>
      </c>
      <c r="F1208" s="19" t="n">
        <v>7142</v>
      </c>
      <c r="G1208" s="21" t="inlineStr">
        <is>
          <t>https://guiarsanrafael.com.ar/empresa/mercau-lucas-sebastian/</t>
        </is>
      </c>
    </row>
    <row r="1209">
      <c r="A1209" s="22" t="n">
        <v>1208</v>
      </c>
      <c r="B1209" s="23" t="inlineStr">
        <is>
          <t>Merenda Electricidad</t>
        </is>
      </c>
      <c r="C1209" s="12" t="inlineStr">
        <is>
          <t>Electricidad del automotor</t>
        </is>
      </c>
      <c r="D1209" s="12" t="inlineStr">
        <is>
          <t>Electricidad del automotor</t>
        </is>
      </c>
      <c r="E1209" s="22" t="n">
        <v>74</v>
      </c>
      <c r="F1209" s="22" t="n">
        <v>8412</v>
      </c>
      <c r="G1209" s="24" t="inlineStr">
        <is>
          <t>https://guiarsanrafael.com.ar/empresa/merenda-electricidad/</t>
        </is>
      </c>
    </row>
    <row r="1210">
      <c r="A1210" s="19" t="n">
        <v>1209</v>
      </c>
      <c r="B1210" s="20" t="inlineStr">
        <is>
          <t>Merino Hnos.</t>
        </is>
      </c>
      <c r="C1210" s="14" t="inlineStr">
        <is>
          <t>Pinturerias impermeabilizantes</t>
        </is>
      </c>
      <c r="D1210" s="14" t="inlineStr">
        <is>
          <t>Pinturerias</t>
        </is>
      </c>
      <c r="E1210" s="19" t="n">
        <v>57</v>
      </c>
      <c r="F1210" s="19" t="n">
        <v>9014</v>
      </c>
      <c r="G1210" s="21" t="inlineStr">
        <is>
          <t>https://guiarsanrafael.com.ar/empresa/merino-hnos/</t>
        </is>
      </c>
    </row>
    <row r="1211">
      <c r="A1211" s="22" t="n">
        <v>1210</v>
      </c>
      <c r="B1211" s="23" t="inlineStr">
        <is>
          <t>METALURGICA ANDRES</t>
        </is>
      </c>
      <c r="C1211" s="12" t="inlineStr">
        <is>
          <t>Metalurgicas</t>
        </is>
      </c>
      <c r="D1211" s="12" t="inlineStr">
        <is>
          <t>Metalurgicas</t>
        </is>
      </c>
      <c r="E1211" s="22" t="n">
        <v>27</v>
      </c>
      <c r="F1211" s="22" t="n">
        <v>11434</v>
      </c>
      <c r="G1211" s="24" t="inlineStr">
        <is>
          <t>https://guiarsanrafael.com.ar/empresa/metalurgica-andres/</t>
        </is>
      </c>
    </row>
    <row r="1212">
      <c r="A1212" s="19" t="n">
        <v>1211</v>
      </c>
      <c r="B1212" s="20" t="inlineStr">
        <is>
          <t>METALURGICA FARINA</t>
        </is>
      </c>
      <c r="C1212" s="14" t="inlineStr">
        <is>
          <t>Amoblamientos</t>
        </is>
      </c>
      <c r="D1212" s="14" t="inlineStr">
        <is>
          <t>Amoblamientos</t>
        </is>
      </c>
      <c r="E1212" s="19" t="n">
        <v>12</v>
      </c>
      <c r="F1212" s="19" t="n">
        <v>13166</v>
      </c>
      <c r="G1212" s="21" t="inlineStr">
        <is>
          <t>https://guiarsanrafael.com.ar/empresa/metalurgica-farina/</t>
        </is>
      </c>
    </row>
    <row r="1213">
      <c r="A1213" s="22" t="n">
        <v>1212</v>
      </c>
      <c r="B1213" s="23" t="inlineStr">
        <is>
          <t>METALÚRGICA TROYANO</t>
        </is>
      </c>
      <c r="C1213" s="12" t="inlineStr">
        <is>
          <t>Aberturas</t>
        </is>
      </c>
      <c r="D1213" s="12" t="inlineStr">
        <is>
          <t>Aberturas</t>
        </is>
      </c>
      <c r="E1213" s="22" t="n">
        <v>168</v>
      </c>
      <c r="F1213" s="22" t="n">
        <v>4692</v>
      </c>
      <c r="G1213" s="24" t="inlineStr">
        <is>
          <t>https://guiarsanrafael.com.ar/empresa/metalurgica-troyano/</t>
        </is>
      </c>
    </row>
    <row r="1214">
      <c r="A1214" s="19" t="n">
        <v>1213</v>
      </c>
      <c r="B1214" s="20" t="inlineStr">
        <is>
          <t>Meydac Marina Fernanda</t>
        </is>
      </c>
      <c r="C1214" s="14" t="inlineStr">
        <is>
          <t>Abogados abogadas estudios juridicos</t>
        </is>
      </c>
      <c r="D1214" s="14" t="inlineStr">
        <is>
          <t>Abogadas</t>
        </is>
      </c>
      <c r="E1214" s="19" t="n">
        <v>110</v>
      </c>
      <c r="F1214" s="19" t="n">
        <v>7216</v>
      </c>
      <c r="G1214" s="21" t="inlineStr">
        <is>
          <t>https://guiarsanrafael.com.ar/empresa/meydac-marina-fernanda/</t>
        </is>
      </c>
    </row>
    <row r="1215">
      <c r="A1215" s="22" t="n">
        <v>1214</v>
      </c>
      <c r="B1215" s="23" t="inlineStr">
        <is>
          <t>MG Ferreteria</t>
        </is>
      </c>
      <c r="C1215" s="12" t="inlineStr">
        <is>
          <t>Ferreterias herramientas</t>
        </is>
      </c>
      <c r="D1215" s="12" t="inlineStr">
        <is>
          <t>Ferreteria industrial</t>
        </is>
      </c>
      <c r="E1215" s="22" t="n">
        <v>88</v>
      </c>
      <c r="F1215" s="22" t="n">
        <v>7996</v>
      </c>
      <c r="G1215" s="24" t="inlineStr">
        <is>
          <t>https://guiarsanrafael.com.ar/empresa/mg-ferreteria/</t>
        </is>
      </c>
    </row>
    <row r="1216">
      <c r="A1216" s="19" t="n">
        <v>1215</v>
      </c>
      <c r="B1216" s="20" t="inlineStr">
        <is>
          <t>MI COTILLON</t>
        </is>
      </c>
      <c r="C1216" s="14" t="inlineStr">
        <is>
          <t>Cotillon</t>
        </is>
      </c>
      <c r="D1216" s="14" t="inlineStr">
        <is>
          <t>Cotillon</t>
        </is>
      </c>
      <c r="E1216" s="19" t="n">
        <v>78</v>
      </c>
      <c r="F1216" s="19" t="n">
        <v>8283</v>
      </c>
      <c r="G1216" s="21" t="inlineStr">
        <is>
          <t>https://guiarsanrafael.com.ar/empresa/mi-cotillon/</t>
        </is>
      </c>
    </row>
    <row r="1217">
      <c r="A1217" s="22" t="n">
        <v>1216</v>
      </c>
      <c r="B1217" s="23" t="inlineStr">
        <is>
          <t>MI Lubricentro</t>
        </is>
      </c>
      <c r="C1217" s="12" t="inlineStr">
        <is>
          <t>Lubricantes aceites lubricentro</t>
        </is>
      </c>
      <c r="D1217" s="12" t="inlineStr">
        <is>
          <t>Lubricantes</t>
        </is>
      </c>
      <c r="E1217" s="22" t="n">
        <v>49</v>
      </c>
      <c r="F1217" s="22" t="n">
        <v>9350</v>
      </c>
      <c r="G1217" s="24" t="inlineStr">
        <is>
          <t>https://guiarsanrafael.com.ar/empresa/mi-lubricentro/</t>
        </is>
      </c>
    </row>
    <row r="1218">
      <c r="A1218" s="19" t="n">
        <v>1217</v>
      </c>
      <c r="B1218" s="20" t="inlineStr">
        <is>
          <t>MI LUGAR sin Gluten</t>
        </is>
      </c>
      <c r="C1218" s="14" t="inlineStr">
        <is>
          <t>Almacen celiaco</t>
        </is>
      </c>
      <c r="D1218" s="14" t="inlineStr">
        <is>
          <t>Almacen celiaco</t>
        </is>
      </c>
      <c r="E1218" s="19" t="n">
        <v>42</v>
      </c>
      <c r="F1218" s="19" t="n">
        <v>9863</v>
      </c>
      <c r="G1218" s="21" t="inlineStr">
        <is>
          <t>https://guiarsanrafael.com.ar/empresa/mi-lugar-sin-t-a-c-c/</t>
        </is>
      </c>
    </row>
    <row r="1219">
      <c r="A1219" s="22" t="n">
        <v>1218</v>
      </c>
      <c r="B1219" s="23" t="inlineStr">
        <is>
          <t>MI MOMENTO Estilistas</t>
        </is>
      </c>
      <c r="C1219" s="12" t="inlineStr">
        <is>
          <t>Barberias peluqueria barberos</t>
        </is>
      </c>
      <c r="D1219" s="12" t="inlineStr">
        <is>
          <t>Barberias</t>
        </is>
      </c>
      <c r="E1219" s="22" t="n">
        <v>77</v>
      </c>
      <c r="F1219" s="22" t="n">
        <v>8343</v>
      </c>
      <c r="G1219" s="24" t="inlineStr">
        <is>
          <t>https://guiarsanrafael.com.ar/empresa/mi-momento-estilistas/</t>
        </is>
      </c>
    </row>
    <row r="1220">
      <c r="A1220" s="19" t="n">
        <v>1219</v>
      </c>
      <c r="B1220" s="20" t="inlineStr">
        <is>
          <t>MI NUEVA RETASERIA</t>
        </is>
      </c>
      <c r="C1220" s="14" t="inlineStr">
        <is>
          <t>Cortinados</t>
        </is>
      </c>
      <c r="D1220" s="14" t="inlineStr">
        <is>
          <t>Cortinados</t>
        </is>
      </c>
      <c r="E1220" s="19" t="n">
        <v>32</v>
      </c>
      <c r="F1220" s="19" t="n">
        <v>10729</v>
      </c>
      <c r="G1220" s="21" t="inlineStr">
        <is>
          <t>https://guiarsanrafael.com.ar/empresa/mi-nueva-retaseria/</t>
        </is>
      </c>
    </row>
    <row r="1221">
      <c r="A1221" s="22" t="n">
        <v>1220</v>
      </c>
      <c r="B1221" s="23" t="inlineStr">
        <is>
          <t>MI RINCON Librería</t>
        </is>
      </c>
      <c r="C1221" s="12" t="inlineStr">
        <is>
          <t>Jugueterias regaleria</t>
        </is>
      </c>
      <c r="D1221" s="12" t="inlineStr">
        <is>
          <t>Librerias</t>
        </is>
      </c>
      <c r="E1221" s="22" t="n">
        <v>42</v>
      </c>
      <c r="F1221" s="22" t="n">
        <v>9837</v>
      </c>
      <c r="G1221" s="24" t="inlineStr">
        <is>
          <t>https://guiarsanrafael.com.ar/empresa/mi-rincon-libreria/</t>
        </is>
      </c>
    </row>
    <row r="1222">
      <c r="A1222" s="19" t="n">
        <v>1221</v>
      </c>
      <c r="B1222" s="20" t="inlineStr">
        <is>
          <t>MI YERBERIA Almacen de Yerba Mate</t>
        </is>
      </c>
      <c r="C1222" s="14" t="inlineStr">
        <is>
          <t>Almacen de yerbamate</t>
        </is>
      </c>
      <c r="D1222" s="14" t="inlineStr">
        <is>
          <t>Almacen de yerbamate</t>
        </is>
      </c>
      <c r="E1222" s="19" t="n">
        <v>14</v>
      </c>
      <c r="F1222" s="19" t="n">
        <v>12844</v>
      </c>
      <c r="G1222" s="21" t="inlineStr">
        <is>
          <t>https://guiarsanrafael.com.ar/empresa/mi-yerberia-almacen-de-yerba-mate/</t>
        </is>
      </c>
    </row>
    <row r="1223">
      <c r="A1223" s="22" t="n">
        <v>1222</v>
      </c>
      <c r="B1223" s="23" t="inlineStr">
        <is>
          <t>MICA BEAUTY Instituto de Estética</t>
        </is>
      </c>
      <c r="C1223" s="12" t="inlineStr">
        <is>
          <t>Academia</t>
        </is>
      </c>
      <c r="D1223" s="12" t="inlineStr">
        <is>
          <t>Academias</t>
        </is>
      </c>
      <c r="E1223" s="22" t="n">
        <v>62</v>
      </c>
      <c r="F1223" s="22" t="n">
        <v>8680</v>
      </c>
      <c r="G1223" s="24" t="inlineStr">
        <is>
          <t>https://guiarsanrafael.com.ar/empresa/mica-beauty-instituto-de-estetica/</t>
        </is>
      </c>
    </row>
    <row r="1224">
      <c r="A1224" s="19" t="n">
        <v>1223</v>
      </c>
      <c r="B1224" s="20" t="inlineStr">
        <is>
          <t>MICA BEAUTY Insumos Estéticos</t>
        </is>
      </c>
      <c r="C1224" s="14" t="inlineStr">
        <is>
          <t>Centro de estetica</t>
        </is>
      </c>
      <c r="D1224" s="14" t="inlineStr">
        <is>
          <t>Insumos para estetica</t>
        </is>
      </c>
      <c r="E1224" s="19" t="n">
        <v>171</v>
      </c>
      <c r="F1224" s="19" t="n">
        <v>4371</v>
      </c>
      <c r="G1224" s="21" t="inlineStr">
        <is>
          <t>https://guiarsanrafael.com.ar/empresa/mica-beauty-instituto/</t>
        </is>
      </c>
    </row>
    <row r="1225">
      <c r="A1225" s="22" t="n">
        <v>1224</v>
      </c>
      <c r="B1225" s="23" t="inlineStr">
        <is>
          <t>Miccoli Antonio Martin</t>
        </is>
      </c>
      <c r="C1225" s="12" t="inlineStr">
        <is>
          <t>Abogados abogadas estudios juridicos</t>
        </is>
      </c>
      <c r="D1225" s="12" t="inlineStr">
        <is>
          <t>Abogados</t>
        </is>
      </c>
      <c r="E1225" s="22" t="n">
        <v>107</v>
      </c>
      <c r="F1225" s="22" t="n">
        <v>7266</v>
      </c>
      <c r="G1225" s="24" t="inlineStr">
        <is>
          <t>https://guiarsanrafael.com.ar/empresa/miccoli-antonio-martin/</t>
        </is>
      </c>
    </row>
    <row r="1226">
      <c r="A1226" s="19" t="n">
        <v>1225</v>
      </c>
      <c r="B1226" s="20" t="inlineStr">
        <is>
          <t>MICROBOLLOS ESTILO</t>
        </is>
      </c>
      <c r="C1226" s="14" t="inlineStr">
        <is>
          <t>Estetica vehicular tuning</t>
        </is>
      </c>
      <c r="D1226" s="14" t="inlineStr">
        <is>
          <t>Estetica vehicular</t>
        </is>
      </c>
      <c r="E1226" s="19" t="n">
        <v>171</v>
      </c>
      <c r="F1226" s="19" t="n">
        <v>4379</v>
      </c>
      <c r="G1226" s="21" t="inlineStr">
        <is>
          <t>https://guiarsanrafael.com.ar/empresa/microbollos-estilo/</t>
        </is>
      </c>
    </row>
    <row r="1227">
      <c r="A1227" s="22" t="n">
        <v>1226</v>
      </c>
      <c r="B1227" s="23" t="inlineStr">
        <is>
          <t>Miguel José David</t>
        </is>
      </c>
      <c r="C1227" s="12" t="inlineStr">
        <is>
          <t>Abogados abogadas estudios juridicos</t>
        </is>
      </c>
      <c r="D1227" s="12" t="inlineStr">
        <is>
          <t>Abogados</t>
        </is>
      </c>
      <c r="E1227" s="22" t="n">
        <v>119</v>
      </c>
      <c r="F1227" s="22" t="n">
        <v>7117</v>
      </c>
      <c r="G1227" s="24" t="inlineStr">
        <is>
          <t>https://guiarsanrafael.com.ar/empresa/miguel-jose-david/</t>
        </is>
      </c>
    </row>
    <row r="1228">
      <c r="A1228" s="19" t="n">
        <v>1227</v>
      </c>
      <c r="B1228" s="20" t="inlineStr">
        <is>
          <t>MIGUEL MOLINUEVO</t>
        </is>
      </c>
      <c r="C1228" s="14" t="inlineStr">
        <is>
          <t>Pediatria neonatologia</t>
        </is>
      </c>
      <c r="D1228" s="14" t="inlineStr">
        <is>
          <t>Pediatria y neonatologia</t>
        </is>
      </c>
      <c r="E1228" s="19" t="n">
        <v>106</v>
      </c>
      <c r="F1228" s="19" t="n">
        <v>7291</v>
      </c>
      <c r="G1228" s="21" t="inlineStr">
        <is>
          <t>https://guiarsanrafael.com.ar/empresa/miguel-molinuevo-2/</t>
        </is>
      </c>
    </row>
    <row r="1229">
      <c r="A1229" s="22" t="n">
        <v>1228</v>
      </c>
      <c r="B1229" s="23" t="inlineStr">
        <is>
          <t>MIKA Pet Shop</t>
        </is>
      </c>
      <c r="C1229" s="12" t="inlineStr">
        <is>
          <t>Alimentos balanceados</t>
        </is>
      </c>
      <c r="D1229" s="12" t="inlineStr">
        <is>
          <t>Alimentos balanceados</t>
        </is>
      </c>
      <c r="E1229" s="22" t="n">
        <v>1</v>
      </c>
      <c r="F1229" s="22" t="n">
        <v>15147</v>
      </c>
      <c r="G1229" s="24" t="inlineStr">
        <is>
          <t>https://guiarsanrafael.com.ar/empresa/mika-pet-shop/</t>
        </is>
      </c>
    </row>
    <row r="1230">
      <c r="A1230" s="19" t="n">
        <v>1229</v>
      </c>
      <c r="B1230" s="20" t="inlineStr">
        <is>
          <t>Mikelino’s Restaurante</t>
        </is>
      </c>
      <c r="C1230" s="14" t="inlineStr">
        <is>
          <t>Restaurantes parrilas</t>
        </is>
      </c>
      <c r="D1230" s="14" t="inlineStr">
        <is>
          <t>Restaurantes</t>
        </is>
      </c>
      <c r="E1230" s="19" t="n">
        <v>37</v>
      </c>
      <c r="F1230" s="19" t="n">
        <v>10261</v>
      </c>
      <c r="G1230" s="21" t="inlineStr">
        <is>
          <t>https://guiarsanrafael.com.ar/empresa/mikelinos-restaurante/</t>
        </is>
      </c>
    </row>
    <row r="1231">
      <c r="A1231" s="22" t="n">
        <v>1230</v>
      </c>
      <c r="B1231" s="23" t="inlineStr">
        <is>
          <t>MILCEADES CABRERA</t>
        </is>
      </c>
      <c r="C1231" s="12" t="inlineStr">
        <is>
          <t>Cirujia cirujano</t>
        </is>
      </c>
      <c r="D1231" s="12" t="inlineStr">
        <is>
          <t>Cirugia general</t>
        </is>
      </c>
      <c r="E1231" s="22" t="n">
        <v>164</v>
      </c>
      <c r="F1231" s="22" t="n">
        <v>5056</v>
      </c>
      <c r="G1231" s="24" t="inlineStr">
        <is>
          <t>https://guiarsanrafael.com.ar/empresa/milceades-cabrera/</t>
        </is>
      </c>
    </row>
    <row r="1232">
      <c r="A1232" s="19" t="n">
        <v>1231</v>
      </c>
      <c r="B1232" s="20" t="inlineStr">
        <is>
          <t>Millanti Viajes</t>
        </is>
      </c>
      <c r="C1232" s="14" t="inlineStr">
        <is>
          <t>Agencia de viajes</t>
        </is>
      </c>
      <c r="D1232" s="14" t="inlineStr">
        <is>
          <t>Agencias de viajes</t>
        </is>
      </c>
      <c r="E1232" s="19" t="n">
        <v>48</v>
      </c>
      <c r="F1232" s="19" t="n">
        <v>9428</v>
      </c>
      <c r="G1232" s="21" t="inlineStr">
        <is>
          <t>https://guiarsanrafael.com.ar/empresa/millanti-viajes/</t>
        </is>
      </c>
    </row>
    <row r="1233">
      <c r="A1233" s="22" t="n">
        <v>1232</v>
      </c>
      <c r="B1233" s="23" t="inlineStr">
        <is>
          <t>MIMANDO con AMOR Pañalera</t>
        </is>
      </c>
      <c r="C1233" s="12" t="inlineStr">
        <is>
          <t>Panaleras</t>
        </is>
      </c>
      <c r="D1233" s="12" t="inlineStr">
        <is>
          <t>Panaleras</t>
        </is>
      </c>
      <c r="E1233" s="22" t="n">
        <v>2</v>
      </c>
      <c r="F1233" s="22" t="n">
        <v>15025</v>
      </c>
      <c r="G1233" s="24" t="inlineStr">
        <is>
          <t>https://guiarsanrafael.com.ar/empresa/mimando-con-amor-panalera/</t>
        </is>
      </c>
    </row>
    <row r="1234">
      <c r="A1234" s="19" t="n">
        <v>1233</v>
      </c>
      <c r="B1234" s="20" t="inlineStr">
        <is>
          <t>Mindo Sáez Pinturería</t>
        </is>
      </c>
      <c r="C1234" s="14" t="inlineStr">
        <is>
          <t>Pinturerias impermeabilizantes</t>
        </is>
      </c>
      <c r="D1234" s="14" t="inlineStr">
        <is>
          <t>Pinturerias</t>
        </is>
      </c>
      <c r="E1234" s="19" t="n">
        <v>57</v>
      </c>
      <c r="F1234" s="19" t="n">
        <v>9022</v>
      </c>
      <c r="G1234" s="21" t="inlineStr">
        <is>
          <t>https://guiarsanrafael.com.ar/empresa/mindo-saez-pintureria-3/</t>
        </is>
      </c>
    </row>
    <row r="1235">
      <c r="A1235" s="22" t="n">
        <v>1234</v>
      </c>
      <c r="B1235" s="23" t="inlineStr">
        <is>
          <t>Mindo Sáez Pinturería</t>
        </is>
      </c>
      <c r="C1235" s="12" t="inlineStr">
        <is>
          <t>Pinturerias impermeabilizantes</t>
        </is>
      </c>
      <c r="D1235" s="12" t="inlineStr">
        <is>
          <t>Pinturerias</t>
        </is>
      </c>
      <c r="E1235" s="22" t="n">
        <v>57</v>
      </c>
      <c r="F1235" s="22" t="n">
        <v>9026</v>
      </c>
      <c r="G1235" s="24" t="inlineStr">
        <is>
          <t>https://guiarsanrafael.com.ar/empresa/mindo-saez-pintureria-4/</t>
        </is>
      </c>
    </row>
    <row r="1236">
      <c r="A1236" s="19" t="n">
        <v>1235</v>
      </c>
      <c r="B1236" s="20" t="inlineStr">
        <is>
          <t>Mindo Sáez Pinturería</t>
        </is>
      </c>
      <c r="C1236" s="14" t="inlineStr">
        <is>
          <t>Pinturerias impermeabilizantes</t>
        </is>
      </c>
      <c r="D1236" s="14" t="inlineStr">
        <is>
          <t>Pinturerias</t>
        </is>
      </c>
      <c r="E1236" s="19" t="n">
        <v>58</v>
      </c>
      <c r="F1236" s="19" t="n">
        <v>9015</v>
      </c>
      <c r="G1236" s="21" t="inlineStr">
        <is>
          <t>https://guiarsanrafael.com.ar/empresa/mindo-saez-pintureria/</t>
        </is>
      </c>
    </row>
    <row r="1237">
      <c r="A1237" s="22" t="n">
        <v>1236</v>
      </c>
      <c r="B1237" s="23" t="inlineStr">
        <is>
          <t>Mindo Sáez Pinturería</t>
        </is>
      </c>
      <c r="C1237" s="12" t="inlineStr">
        <is>
          <t>Pinturerias impermeabilizantes</t>
        </is>
      </c>
      <c r="D1237" s="12" t="inlineStr">
        <is>
          <t>Pinturerias</t>
        </is>
      </c>
      <c r="E1237" s="22" t="n">
        <v>58</v>
      </c>
      <c r="F1237" s="22" t="n">
        <v>9016</v>
      </c>
      <c r="G1237" s="24" t="inlineStr">
        <is>
          <t>https://guiarsanrafael.com.ar/empresa/mindo-saez-pintureria-2/</t>
        </is>
      </c>
    </row>
    <row r="1238">
      <c r="A1238" s="19" t="n">
        <v>1237</v>
      </c>
      <c r="B1238" s="20" t="inlineStr">
        <is>
          <t>MINI LOOK</t>
        </is>
      </c>
      <c r="C1238" s="14" t="inlineStr">
        <is>
          <t>Estilistas peluqueria barberias</t>
        </is>
      </c>
      <c r="D1238" s="14" t="inlineStr">
        <is>
          <t>Estilistas</t>
        </is>
      </c>
      <c r="E1238" s="19" t="n">
        <v>170</v>
      </c>
      <c r="F1238" s="19" t="n">
        <v>4419</v>
      </c>
      <c r="G1238" s="21" t="inlineStr">
        <is>
          <t>https://guiarsanrafael.com.ar/empresa/mini-look/</t>
        </is>
      </c>
    </row>
    <row r="1239">
      <c r="A1239" s="22" t="n">
        <v>1238</v>
      </c>
      <c r="B1239" s="23" t="inlineStr">
        <is>
          <t>MIRANDA Telma Evelin</t>
        </is>
      </c>
      <c r="C1239" s="12" t="inlineStr">
        <is>
          <t>Escribanias escribanos escribanas mandatario mandataria notarios notarias</t>
        </is>
      </c>
      <c r="D1239" s="12" t="inlineStr">
        <is>
          <t>Escribanas</t>
        </is>
      </c>
      <c r="E1239" s="22" t="n">
        <v>82</v>
      </c>
      <c r="F1239" s="22" t="n">
        <v>8202</v>
      </c>
      <c r="G1239" s="24" t="inlineStr">
        <is>
          <t>https://guiarsanrafael.com.ar/empresa/miranda-telma-evelin/</t>
        </is>
      </c>
    </row>
    <row r="1240">
      <c r="A1240" s="19" t="n">
        <v>1239</v>
      </c>
      <c r="B1240" s="20" t="inlineStr">
        <is>
          <t>MIRNA RUIZ</t>
        </is>
      </c>
      <c r="C1240" s="14" t="inlineStr">
        <is>
          <t>Otorrinolaringologia nariz garganta oido</t>
        </is>
      </c>
      <c r="D1240" s="14" t="inlineStr">
        <is>
          <t>Nariz garganta y oido</t>
        </is>
      </c>
      <c r="E1240" s="19" t="n">
        <v>123</v>
      </c>
      <c r="F1240" s="19" t="n">
        <v>6839</v>
      </c>
      <c r="G1240" s="21" t="inlineStr">
        <is>
          <t>https://guiarsanrafael.com.ar/empresa/mirna-ruiz/</t>
        </is>
      </c>
    </row>
    <row r="1241">
      <c r="A1241" s="22" t="n">
        <v>1240</v>
      </c>
      <c r="B1241" s="23" t="inlineStr">
        <is>
          <t>Mirón Gabriela Sofía</t>
        </is>
      </c>
      <c r="C1241" s="12" t="inlineStr">
        <is>
          <t>Abogados abogadas estudios juridicos</t>
        </is>
      </c>
      <c r="D1241" s="12" t="inlineStr">
        <is>
          <t>Abogadas</t>
        </is>
      </c>
      <c r="E1241" s="22" t="n">
        <v>106</v>
      </c>
      <c r="F1241" s="22" t="n">
        <v>7267</v>
      </c>
      <c r="G1241" s="24" t="inlineStr">
        <is>
          <t>https://guiarsanrafael.com.ar/empresa/miron-gabriela-sofia/</t>
        </is>
      </c>
    </row>
    <row r="1242">
      <c r="A1242" s="19" t="n">
        <v>1241</v>
      </c>
      <c r="B1242" s="20" t="inlineStr">
        <is>
          <t>ML Accesorios</t>
        </is>
      </c>
      <c r="C1242" s="14" t="inlineStr">
        <is>
          <t>Accesorios de telefonia celular</t>
        </is>
      </c>
      <c r="D1242" s="14" t="inlineStr">
        <is>
          <t>Servicio tecnico</t>
        </is>
      </c>
      <c r="E1242" s="19" t="n">
        <v>128</v>
      </c>
      <c r="F1242" s="19" t="n">
        <v>6467</v>
      </c>
      <c r="G1242" s="21" t="inlineStr">
        <is>
          <t>https://guiarsanrafael.com.ar/empresa/ml-accesorios/</t>
        </is>
      </c>
    </row>
    <row r="1243">
      <c r="A1243" s="22" t="n">
        <v>1242</v>
      </c>
      <c r="B1243" s="23" t="inlineStr">
        <is>
          <t>MM Suplementos Deportivos</t>
        </is>
      </c>
      <c r="C1243" s="12" t="inlineStr">
        <is>
          <t>Indumentaria</t>
        </is>
      </c>
      <c r="D1243" s="12" t="inlineStr">
        <is>
          <t>Indumentaria</t>
        </is>
      </c>
      <c r="E1243" s="22" t="n">
        <v>13</v>
      </c>
      <c r="F1243" s="22" t="n">
        <v>12992</v>
      </c>
      <c r="G1243" s="24" t="inlineStr">
        <is>
          <t>https://guiarsanrafael.com.ar/empresa/mym-suplementos-e-indumentaria/</t>
        </is>
      </c>
    </row>
    <row r="1244">
      <c r="A1244" s="19" t="n">
        <v>1243</v>
      </c>
      <c r="B1244" s="20" t="inlineStr">
        <is>
          <t>MMY SEGURIDAD INDUSTRIAL de Mauricio Yagüe</t>
        </is>
      </c>
      <c r="C1244" s="14" t="inlineStr">
        <is>
          <t>Indumentaria</t>
        </is>
      </c>
      <c r="D1244" s="14" t="inlineStr">
        <is>
          <t>Indumentaria</t>
        </is>
      </c>
      <c r="E1244" s="19" t="n">
        <v>23</v>
      </c>
      <c r="F1244" s="19" t="n">
        <v>11878</v>
      </c>
      <c r="G1244" s="21" t="inlineStr">
        <is>
          <t>https://guiarsanrafael.com.ar/empresa/mmy-seguridad-industrial-de-mauricio-miguel-yague/</t>
        </is>
      </c>
    </row>
    <row r="1245">
      <c r="A1245" s="22" t="n">
        <v>1244</v>
      </c>
      <c r="B1245" s="23" t="inlineStr">
        <is>
          <t>MODO LIMPIO Artículos de Limpieza</t>
        </is>
      </c>
      <c r="C1245" s="12" t="inlineStr">
        <is>
          <t>Alimentos balanceados</t>
        </is>
      </c>
      <c r="D1245" s="12" t="inlineStr">
        <is>
          <t>Alimentos balanceados</t>
        </is>
      </c>
      <c r="E1245" s="22" t="n">
        <v>2</v>
      </c>
      <c r="F1245" s="22" t="n">
        <v>14991</v>
      </c>
      <c r="G1245" s="24" t="inlineStr">
        <is>
          <t>https://guiarsanrafael.com.ar/empresa/modo-limpio-articulos-de-limpieza/</t>
        </is>
      </c>
    </row>
    <row r="1246">
      <c r="A1246" s="19" t="n">
        <v>1245</v>
      </c>
      <c r="B1246" s="20" t="inlineStr">
        <is>
          <t>MODO MONO Rental Bike &amp; Sky</t>
        </is>
      </c>
      <c r="C1246" s="14" t="inlineStr">
        <is>
          <t>Alquiler de bicicletas</t>
        </is>
      </c>
      <c r="D1246" s="14" t="inlineStr">
        <is>
          <t>Alquiler de bicicletas</t>
        </is>
      </c>
      <c r="E1246" s="19" t="n">
        <v>41</v>
      </c>
      <c r="F1246" s="19" t="n">
        <v>9956</v>
      </c>
      <c r="G1246" s="21" t="inlineStr">
        <is>
          <t>https://guiarsanrafael.com.ar/empresa/modo-mono-rental-bike/</t>
        </is>
      </c>
    </row>
    <row r="1247">
      <c r="A1247" s="22" t="n">
        <v>1246</v>
      </c>
      <c r="B1247" s="23" t="inlineStr">
        <is>
          <t>MODULOS SAN RAFAEL</t>
        </is>
      </c>
      <c r="C1247" s="12" t="inlineStr">
        <is>
          <t>Accesorios de telefonia celular</t>
        </is>
      </c>
      <c r="D1247" s="12" t="inlineStr">
        <is>
          <t>Accesorios de telefonia</t>
        </is>
      </c>
      <c r="E1247" s="22" t="n">
        <v>66</v>
      </c>
      <c r="F1247" s="22" t="n">
        <v>8575</v>
      </c>
      <c r="G1247" s="24" t="inlineStr">
        <is>
          <t>https://guiarsanrafael.com.ar/empresa/modulos-san-rafael/</t>
        </is>
      </c>
    </row>
    <row r="1248">
      <c r="A1248" s="19" t="n">
        <v>1247</v>
      </c>
      <c r="B1248" s="20" t="inlineStr">
        <is>
          <t>MOES Casa de Comidas</t>
        </is>
      </c>
      <c r="C1248" s="14" t="inlineStr">
        <is>
          <t>Casa de comidas rotiseria viandas</t>
        </is>
      </c>
      <c r="D1248" s="14" t="inlineStr">
        <is>
          <t>Casa de comidas</t>
        </is>
      </c>
      <c r="E1248" s="19" t="n">
        <v>14</v>
      </c>
      <c r="F1248" s="19" t="n">
        <v>12912</v>
      </c>
      <c r="G1248" s="21" t="inlineStr">
        <is>
          <t>https://guiarsanrafael.com.ar/empresa/moes-casa-de-comidas/</t>
        </is>
      </c>
    </row>
    <row r="1249">
      <c r="A1249" s="22" t="n">
        <v>1248</v>
      </c>
      <c r="B1249" s="23" t="inlineStr">
        <is>
          <t>MOMENTOS MAGICOS Disfraces</t>
        </is>
      </c>
      <c r="C1249" s="12" t="inlineStr">
        <is>
          <t>Alquiler de disfraces</t>
        </is>
      </c>
      <c r="D1249" s="12" t="inlineStr">
        <is>
          <t>Alquiler de disfraces</t>
        </is>
      </c>
      <c r="E1249" s="22" t="n">
        <v>39</v>
      </c>
      <c r="F1249" s="22" t="n">
        <v>10203</v>
      </c>
      <c r="G1249" s="24" t="inlineStr">
        <is>
          <t>https://guiarsanrafael.com.ar/empresa/momentos-magicos-disfraces/</t>
        </is>
      </c>
    </row>
    <row r="1250">
      <c r="A1250" s="19" t="n">
        <v>1249</v>
      </c>
      <c r="B1250" s="20" t="inlineStr">
        <is>
          <t>Momentos Mágicos Salon de Eventos</t>
        </is>
      </c>
      <c r="C1250" s="14" t="inlineStr">
        <is>
          <t>Salon de eventos</t>
        </is>
      </c>
      <c r="D1250" s="14" t="inlineStr">
        <is>
          <t>Eventos</t>
        </is>
      </c>
      <c r="E1250" s="19" t="n">
        <v>34</v>
      </c>
      <c r="F1250" s="19" t="n">
        <v>10449</v>
      </c>
      <c r="G1250" s="21" t="inlineStr">
        <is>
          <t>https://guiarsanrafael.com.ar/empresa/momentos-magicos-salon-de-eventos/</t>
        </is>
      </c>
    </row>
    <row r="1251">
      <c r="A1251" s="22" t="n">
        <v>1250</v>
      </c>
      <c r="B1251" s="23" t="inlineStr">
        <is>
          <t>MON CIEL Panadería &amp; Café</t>
        </is>
      </c>
      <c r="C1251" s="12" t="inlineStr">
        <is>
          <t>Confiterias reposteria</t>
        </is>
      </c>
      <c r="D1251" s="12" t="inlineStr">
        <is>
          <t>Confiteria</t>
        </is>
      </c>
      <c r="E1251" s="22" t="n">
        <v>163</v>
      </c>
      <c r="F1251" s="22" t="n">
        <v>5105</v>
      </c>
      <c r="G1251" s="24" t="inlineStr">
        <is>
          <t>https://guiarsanrafael.com.ar/empresa/mon-ciel-panaderia-cafe/</t>
        </is>
      </c>
    </row>
    <row r="1252">
      <c r="A1252" s="19" t="n">
        <v>1251</v>
      </c>
      <c r="B1252" s="20" t="inlineStr">
        <is>
          <t>MONICA R. GIJON</t>
        </is>
      </c>
      <c r="C1252" s="14" t="inlineStr">
        <is>
          <t>Bioquimicos laboratorio</t>
        </is>
      </c>
      <c r="D1252" s="14" t="inlineStr">
        <is>
          <t>Bioquimicos</t>
        </is>
      </c>
      <c r="E1252" s="19" t="n">
        <v>42</v>
      </c>
      <c r="F1252" s="19" t="n">
        <v>9914</v>
      </c>
      <c r="G1252" s="21" t="inlineStr">
        <is>
          <t>https://guiarsanrafael.com.ar/empresa/monica-r-gijon/</t>
        </is>
      </c>
    </row>
    <row r="1253">
      <c r="A1253" s="22" t="n">
        <v>1252</v>
      </c>
      <c r="B1253" s="23" t="inlineStr">
        <is>
          <t>MONICA TORREGROSA</t>
        </is>
      </c>
      <c r="C1253" s="12" t="inlineStr">
        <is>
          <t>Escribanias escribanos escribanas mandatario mandataria notarios notarias</t>
        </is>
      </c>
      <c r="D1253" s="12" t="inlineStr">
        <is>
          <t>Escribanas</t>
        </is>
      </c>
      <c r="E1253" s="22" t="n">
        <v>133</v>
      </c>
      <c r="F1253" s="22" t="n">
        <v>6148</v>
      </c>
      <c r="G1253" s="24" t="inlineStr">
        <is>
          <t>https://guiarsanrafael.com.ar/empresa/monica-torregrosa/</t>
        </is>
      </c>
    </row>
    <row r="1254">
      <c r="A1254" s="19" t="n">
        <v>1253</v>
      </c>
      <c r="B1254" s="20" t="inlineStr">
        <is>
          <t>Montenegro Lía Mariana</t>
        </is>
      </c>
      <c r="C1254" s="14" t="inlineStr">
        <is>
          <t>Abogados abogadas estudios juridicos</t>
        </is>
      </c>
      <c r="D1254" s="14" t="inlineStr">
        <is>
          <t>Abogadas</t>
        </is>
      </c>
      <c r="E1254" s="19" t="n">
        <v>108</v>
      </c>
      <c r="F1254" s="19" t="n">
        <v>7259</v>
      </c>
      <c r="G1254" s="21" t="inlineStr">
        <is>
          <t>https://guiarsanrafael.com.ar/empresa/montenegro-lia-mariana/</t>
        </is>
      </c>
    </row>
    <row r="1255">
      <c r="A1255" s="22" t="n">
        <v>1254</v>
      </c>
      <c r="B1255" s="23" t="inlineStr">
        <is>
          <t>MONZALVO y ASOCIADOS Grupo Consultor</t>
        </is>
      </c>
      <c r="C1255" s="12" t="inlineStr">
        <is>
          <t>Agrimensores agrimensura estudios tecnicos</t>
        </is>
      </c>
      <c r="D1255" s="12" t="inlineStr">
        <is>
          <t>Agrimensores</t>
        </is>
      </c>
      <c r="E1255" s="22" t="n">
        <v>134</v>
      </c>
      <c r="F1255" s="22" t="n">
        <v>6086</v>
      </c>
      <c r="G1255" s="24" t="inlineStr">
        <is>
          <t>https://guiarsanrafael.com.ar/empresa/monzalvo-y-asociados-grupo-consultor/</t>
        </is>
      </c>
    </row>
    <row r="1256">
      <c r="A1256" s="19" t="n">
        <v>1255</v>
      </c>
      <c r="B1256" s="20" t="inlineStr">
        <is>
          <t>MORA Mariano Mauro</t>
        </is>
      </c>
      <c r="C1256" s="14" t="inlineStr">
        <is>
          <t>Escribanias escribanos escribanas mandatario mandataria notarios notarias</t>
        </is>
      </c>
      <c r="D1256" s="14" t="inlineStr">
        <is>
          <t>Escribanias</t>
        </is>
      </c>
      <c r="E1256" s="19" t="n">
        <v>82</v>
      </c>
      <c r="F1256" s="19" t="n">
        <v>8203</v>
      </c>
      <c r="G1256" s="21" t="inlineStr">
        <is>
          <t>https://guiarsanrafael.com.ar/empresa/mora-mariano-mauro/</t>
        </is>
      </c>
    </row>
    <row r="1257">
      <c r="A1257" s="22" t="n">
        <v>1256</v>
      </c>
      <c r="B1257" s="23" t="inlineStr">
        <is>
          <t>Mora Perfumería</t>
        </is>
      </c>
      <c r="C1257" s="12" t="inlineStr">
        <is>
          <t>Cosmetica cosmetologia cosmetologa cosmiatra</t>
        </is>
      </c>
      <c r="D1257" s="12" t="inlineStr">
        <is>
          <t>Perfumeria</t>
        </is>
      </c>
      <c r="E1257" s="22" t="n">
        <v>66</v>
      </c>
      <c r="F1257" s="22" t="n">
        <v>8615</v>
      </c>
      <c r="G1257" s="24" t="inlineStr">
        <is>
          <t>https://guiarsanrafael.com.ar/empresa/mora-perfumeria/</t>
        </is>
      </c>
    </row>
    <row r="1258">
      <c r="A1258" s="19" t="n">
        <v>1257</v>
      </c>
      <c r="B1258" s="20" t="inlineStr">
        <is>
          <t>MORBIDELLI Amoblamientos &amp; Marmolería</t>
        </is>
      </c>
      <c r="C1258" s="14" t="inlineStr">
        <is>
          <t>Amoblamientos</t>
        </is>
      </c>
      <c r="D1258" s="14" t="inlineStr">
        <is>
          <t>Amoblamientos</t>
        </is>
      </c>
      <c r="E1258" s="19" t="n">
        <v>136</v>
      </c>
      <c r="F1258" s="19" t="n">
        <v>5946</v>
      </c>
      <c r="G1258" s="21" t="inlineStr">
        <is>
          <t>https://guiarsanrafael.com.ar/empresa/morbidelli-amoblamientos-marmoleria/</t>
        </is>
      </c>
    </row>
    <row r="1259">
      <c r="A1259" s="22" t="n">
        <v>1258</v>
      </c>
      <c r="B1259" s="23" t="inlineStr">
        <is>
          <t>Morbidelli Gustavo Jesús</t>
        </is>
      </c>
      <c r="C1259" s="12" t="inlineStr">
        <is>
          <t>Abogados abogadas estudios juridicos</t>
        </is>
      </c>
      <c r="D1259" s="12" t="inlineStr">
        <is>
          <t>Abogados</t>
        </is>
      </c>
      <c r="E1259" s="22" t="n">
        <v>115</v>
      </c>
      <c r="F1259" s="22" t="n">
        <v>7163</v>
      </c>
      <c r="G1259" s="24" t="inlineStr">
        <is>
          <t>https://guiarsanrafael.com.ar/empresa/morbidelli-gustavo-jesus/</t>
        </is>
      </c>
    </row>
    <row r="1260">
      <c r="A1260" s="19" t="n">
        <v>1259</v>
      </c>
      <c r="B1260" s="20" t="inlineStr">
        <is>
          <t>Morbidelli Marcelo Alejandro</t>
        </is>
      </c>
      <c r="C1260" s="14" t="inlineStr">
        <is>
          <t>Abogados abogadas estudios juridicos</t>
        </is>
      </c>
      <c r="D1260" s="14" t="inlineStr">
        <is>
          <t>Abogados</t>
        </is>
      </c>
      <c r="E1260" s="19" t="n">
        <v>112</v>
      </c>
      <c r="F1260" s="19" t="n">
        <v>7199</v>
      </c>
      <c r="G1260" s="21" t="inlineStr">
        <is>
          <t>https://guiarsanrafael.com.ar/empresa/morbidelli-marcelo-alejandro/</t>
        </is>
      </c>
    </row>
    <row r="1261">
      <c r="A1261" s="22" t="n">
        <v>1260</v>
      </c>
      <c r="B1261" s="23" t="inlineStr">
        <is>
          <t>Moreno Matías Javier</t>
        </is>
      </c>
      <c r="C1261" s="12" t="inlineStr">
        <is>
          <t>Abogados abogadas estudios juridicos</t>
        </is>
      </c>
      <c r="D1261" s="12" t="inlineStr">
        <is>
          <t>Abogados</t>
        </is>
      </c>
      <c r="E1261" s="22" t="n">
        <v>111</v>
      </c>
      <c r="F1261" s="22" t="n">
        <v>7205</v>
      </c>
      <c r="G1261" s="24" t="inlineStr">
        <is>
          <t>https://guiarsanrafael.com.ar/empresa/moreno-matias-javier/</t>
        </is>
      </c>
    </row>
    <row r="1262">
      <c r="A1262" s="19" t="n">
        <v>1261</v>
      </c>
      <c r="B1262" s="20" t="inlineStr">
        <is>
          <t>MORENO Panadería &amp; Confitería</t>
        </is>
      </c>
      <c r="C1262" s="14" t="inlineStr">
        <is>
          <t>Catering empresas gastronomicas</t>
        </is>
      </c>
      <c r="D1262" s="14" t="inlineStr">
        <is>
          <t>Confiteria</t>
        </is>
      </c>
      <c r="E1262" s="19" t="n">
        <v>130</v>
      </c>
      <c r="F1262" s="19" t="n">
        <v>6329</v>
      </c>
      <c r="G1262" s="21" t="inlineStr">
        <is>
          <t>https://guiarsanrafael.com.ar/empresa/moreno-panaderia-confiteria/</t>
        </is>
      </c>
    </row>
    <row r="1263">
      <c r="A1263" s="22" t="n">
        <v>1262</v>
      </c>
      <c r="B1263" s="23" t="inlineStr">
        <is>
          <t>MORENO PAULA G.</t>
        </is>
      </c>
      <c r="C1263" s="12" t="inlineStr">
        <is>
          <t>Escribanias escribanos escribanas mandatario mandataria notarios notarias</t>
        </is>
      </c>
      <c r="D1263" s="12" t="inlineStr">
        <is>
          <t>Escribanas</t>
        </is>
      </c>
      <c r="E1263" s="22" t="n">
        <v>98</v>
      </c>
      <c r="F1263" s="22" t="n">
        <v>7483</v>
      </c>
      <c r="G1263" s="24" t="inlineStr">
        <is>
          <t>https://guiarsanrafael.com.ar/empresa/moreno-paula-g/</t>
        </is>
      </c>
    </row>
    <row r="1264">
      <c r="A1264" s="19" t="n">
        <v>1263</v>
      </c>
      <c r="B1264" s="20" t="inlineStr">
        <is>
          <t>MOSTAFA ALEJANDRA</t>
        </is>
      </c>
      <c r="C1264" s="14" t="inlineStr">
        <is>
          <t>Odontologia</t>
        </is>
      </c>
      <c r="D1264" s="14" t="inlineStr">
        <is>
          <t>Odontologia</t>
        </is>
      </c>
      <c r="E1264" s="19" t="n">
        <v>101</v>
      </c>
      <c r="F1264" s="19" t="n">
        <v>7447</v>
      </c>
      <c r="G1264" s="21" t="inlineStr">
        <is>
          <t>https://guiarsanrafael.com.ar/empresa/mostafa-alejandra/</t>
        </is>
      </c>
    </row>
    <row r="1265">
      <c r="A1265" s="22" t="n">
        <v>1264</v>
      </c>
      <c r="B1265" s="23" t="inlineStr">
        <is>
          <t>Moto Amigo San Rafael</t>
        </is>
      </c>
      <c r="C1265" s="12" t="inlineStr">
        <is>
          <t>Agencias de motos</t>
        </is>
      </c>
      <c r="D1265" s="12" t="inlineStr">
        <is>
          <t>Agencias de motos</t>
        </is>
      </c>
      <c r="E1265" s="22" t="n">
        <v>71</v>
      </c>
      <c r="F1265" s="22" t="n">
        <v>8465</v>
      </c>
      <c r="G1265" s="24" t="inlineStr">
        <is>
          <t>https://guiarsanrafael.com.ar/empresa/moto-amigo-san-rafael/</t>
        </is>
      </c>
    </row>
    <row r="1266">
      <c r="A1266" s="19" t="n">
        <v>1265</v>
      </c>
      <c r="B1266" s="20" t="inlineStr">
        <is>
          <t>MOTO RACING</t>
        </is>
      </c>
      <c r="C1266" s="14" t="inlineStr">
        <is>
          <t>Accesorios para motos</t>
        </is>
      </c>
      <c r="D1266" s="14" t="inlineStr">
        <is>
          <t>Accesorios para motos</t>
        </is>
      </c>
      <c r="E1266" s="19" t="n">
        <v>72</v>
      </c>
      <c r="F1266" s="19" t="n">
        <v>8452</v>
      </c>
      <c r="G1266" s="21" t="inlineStr">
        <is>
          <t>https://guiarsanrafael.com.ar/empresa/moto-racing/</t>
        </is>
      </c>
    </row>
    <row r="1267">
      <c r="A1267" s="22" t="n">
        <v>1266</v>
      </c>
      <c r="B1267" s="23" t="inlineStr">
        <is>
          <t>Motoca</t>
        </is>
      </c>
      <c r="C1267" s="12" t="inlineStr">
        <is>
          <t>Repuestos de motos</t>
        </is>
      </c>
      <c r="D1267" s="12" t="inlineStr">
        <is>
          <t>Accesorios para motos</t>
        </is>
      </c>
      <c r="E1267" s="22" t="n">
        <v>182</v>
      </c>
      <c r="F1267" s="22" t="n">
        <v>8453</v>
      </c>
      <c r="G1267" s="24" t="inlineStr">
        <is>
          <t>https://guiarsanrafael.com.ar/empresa/8453/</t>
        </is>
      </c>
    </row>
    <row r="1268">
      <c r="A1268" s="19" t="n">
        <v>1267</v>
      </c>
      <c r="B1268" s="20" t="inlineStr">
        <is>
          <t>MOTOPARTES RR</t>
        </is>
      </c>
      <c r="C1268" s="14" t="inlineStr">
        <is>
          <t>Lubricantes aceites lubricentro</t>
        </is>
      </c>
      <c r="D1268" s="14" t="inlineStr">
        <is>
          <t>Accesorios para motos</t>
        </is>
      </c>
      <c r="E1268" s="19" t="n">
        <v>29</v>
      </c>
      <c r="F1268" s="19" t="n">
        <v>11146</v>
      </c>
      <c r="G1268" s="21" t="inlineStr">
        <is>
          <t>https://guiarsanrafael.com.ar/empresa/motopartes-rr/</t>
        </is>
      </c>
    </row>
    <row r="1269">
      <c r="A1269" s="22" t="n">
        <v>1268</v>
      </c>
      <c r="B1269" s="23" t="inlineStr">
        <is>
          <t>Motos Cornachione</t>
        </is>
      </c>
      <c r="C1269" s="12" t="inlineStr">
        <is>
          <t>Mecanica de motos</t>
        </is>
      </c>
      <c r="D1269" s="12" t="inlineStr">
        <is>
          <t>Mecanica de motos</t>
        </is>
      </c>
      <c r="E1269" s="22" t="n">
        <v>72</v>
      </c>
      <c r="F1269" s="22" t="n">
        <v>8449</v>
      </c>
      <c r="G1269" s="24" t="inlineStr">
        <is>
          <t>https://guiarsanrafael.com.ar/empresa/motos-cornachione/</t>
        </is>
      </c>
    </row>
    <row r="1270">
      <c r="A1270" s="19" t="n">
        <v>1269</v>
      </c>
      <c r="B1270" s="20" t="inlineStr">
        <is>
          <t>MOTOTOUR RENTAL  Alquiler de motos</t>
        </is>
      </c>
      <c r="C1270" s="14" t="inlineStr">
        <is>
          <t>Agencias de motos</t>
        </is>
      </c>
      <c r="D1270" s="14" t="inlineStr">
        <is>
          <t>Accesorios para motos</t>
        </is>
      </c>
      <c r="E1270" s="19" t="n">
        <v>70</v>
      </c>
      <c r="F1270" s="19" t="n">
        <v>8443</v>
      </c>
      <c r="G1270" s="21" t="inlineStr">
        <is>
          <t>https://guiarsanrafael.com.ar/empresa/mototour-rental-alquiler-de-motos/</t>
        </is>
      </c>
    </row>
    <row r="1271">
      <c r="A1271" s="22" t="n">
        <v>1270</v>
      </c>
      <c r="B1271" s="23" t="inlineStr">
        <is>
          <t>Mr. Clean</t>
        </is>
      </c>
      <c r="C1271" s="12" t="inlineStr">
        <is>
          <t>Articulos de limpieza todo suelto</t>
        </is>
      </c>
      <c r="D1271" s="12" t="inlineStr">
        <is>
          <t>Articulos de limpieza</t>
        </is>
      </c>
      <c r="E1271" s="22" t="n">
        <v>67</v>
      </c>
      <c r="F1271" s="22" t="n">
        <v>8525</v>
      </c>
      <c r="G1271" s="24" t="inlineStr">
        <is>
          <t>https://guiarsanrafael.com.ar/empresa/mr-clean/</t>
        </is>
      </c>
    </row>
    <row r="1272">
      <c r="A1272" s="19" t="n">
        <v>1271</v>
      </c>
      <c r="B1272" s="20" t="inlineStr">
        <is>
          <t>MTCI Mantenimiento Casa e Industrias</t>
        </is>
      </c>
      <c r="C1272" s="14" t="inlineStr">
        <is>
          <t>Aire acondicionado</t>
        </is>
      </c>
      <c r="D1272" s="14" t="inlineStr">
        <is>
          <t>Aire acondicionado</t>
        </is>
      </c>
      <c r="E1272" s="19" t="n">
        <v>87</v>
      </c>
      <c r="F1272" s="19" t="n">
        <v>8033</v>
      </c>
      <c r="G1272" s="21" t="inlineStr">
        <is>
          <t>https://guiarsanrafael.com.ar/empresa/mtci/</t>
        </is>
      </c>
    </row>
    <row r="1273">
      <c r="A1273" s="22" t="n">
        <v>1272</v>
      </c>
      <c r="B1273" s="23" t="inlineStr">
        <is>
          <t>MTM Agencia Oficial</t>
        </is>
      </c>
      <c r="C1273" s="12" t="inlineStr">
        <is>
          <t>Agencias de motos</t>
        </is>
      </c>
      <c r="D1273" s="12" t="inlineStr">
        <is>
          <t>Agencias de motos</t>
        </is>
      </c>
      <c r="E1273" s="22" t="n">
        <v>29</v>
      </c>
      <c r="F1273" s="22" t="n">
        <v>11248</v>
      </c>
      <c r="G1273" s="24" t="inlineStr">
        <is>
          <t>https://guiarsanrafael.com.ar/empresa/mtm-agencia-oficial/</t>
        </is>
      </c>
    </row>
    <row r="1274">
      <c r="A1274" s="19" t="n">
        <v>1273</v>
      </c>
      <c r="B1274" s="20" t="inlineStr">
        <is>
          <t>MTM Ferretería Industrial</t>
        </is>
      </c>
      <c r="C1274" s="14" t="inlineStr">
        <is>
          <t>Ferreterias herramientas</t>
        </is>
      </c>
      <c r="D1274" s="14" t="inlineStr">
        <is>
          <t>Ferreteria industrial</t>
        </is>
      </c>
      <c r="E1274" s="19" t="n">
        <v>126</v>
      </c>
      <c r="F1274" s="19" t="n">
        <v>6580</v>
      </c>
      <c r="G1274" s="21" t="inlineStr">
        <is>
          <t>https://guiarsanrafael.com.ar/empresa/mtm-ferreteria-industrial/</t>
        </is>
      </c>
    </row>
    <row r="1275">
      <c r="A1275" s="22" t="n">
        <v>1274</v>
      </c>
      <c r="B1275" s="23" t="inlineStr">
        <is>
          <t>MTM Servico Oficial</t>
        </is>
      </c>
      <c r="C1275" s="12" t="inlineStr">
        <is>
          <t>Herramientas</t>
        </is>
      </c>
      <c r="D1275" s="12" t="inlineStr">
        <is>
          <t>Herramientas</t>
        </is>
      </c>
      <c r="E1275" s="22" t="n">
        <v>126</v>
      </c>
      <c r="F1275" s="22" t="n">
        <v>6583</v>
      </c>
      <c r="G1275" s="24" t="inlineStr">
        <is>
          <t>https://guiarsanrafael.com.ar/empresa/mtm-ferreteria-industrial-2/</t>
        </is>
      </c>
    </row>
    <row r="1276">
      <c r="A1276" s="19" t="n">
        <v>1275</v>
      </c>
      <c r="B1276" s="20" t="inlineStr">
        <is>
          <t>Mueblería Bahía</t>
        </is>
      </c>
      <c r="C1276" s="14" t="inlineStr">
        <is>
          <t>Mueblerias muebles de oficina</t>
        </is>
      </c>
      <c r="D1276" s="14" t="inlineStr">
        <is>
          <t>Mueblerias</t>
        </is>
      </c>
      <c r="E1276" s="19" t="n">
        <v>17</v>
      </c>
      <c r="F1276" s="19" t="n">
        <v>12564</v>
      </c>
      <c r="G1276" s="21" t="inlineStr">
        <is>
          <t>https://guiarsanrafael.com.ar/empresa/muebleria-bahia/</t>
        </is>
      </c>
    </row>
    <row r="1277">
      <c r="A1277" s="22" t="n">
        <v>1276</v>
      </c>
      <c r="B1277" s="23" t="inlineStr">
        <is>
          <t>Muebles Rolando</t>
        </is>
      </c>
      <c r="C1277" s="12" t="inlineStr">
        <is>
          <t>Mueblerias muebles de oficina</t>
        </is>
      </c>
      <c r="D1277" s="12" t="inlineStr">
        <is>
          <t>Mueblerias</t>
        </is>
      </c>
      <c r="E1277" s="22" t="n">
        <v>17</v>
      </c>
      <c r="F1277" s="22" t="n">
        <v>12562</v>
      </c>
      <c r="G1277" s="24" t="inlineStr">
        <is>
          <t>https://guiarsanrafael.com.ar/empresa/muebles-rolando/</t>
        </is>
      </c>
    </row>
    <row r="1278">
      <c r="A1278" s="19" t="n">
        <v>1277</v>
      </c>
      <c r="B1278" s="20" t="inlineStr">
        <is>
          <t>MULTITECNO Informática</t>
        </is>
      </c>
      <c r="C1278" s="14" t="inlineStr">
        <is>
          <t>Computacion informatica</t>
        </is>
      </c>
      <c r="D1278" s="14" t="inlineStr">
        <is>
          <t>Computacion</t>
        </is>
      </c>
      <c r="E1278" s="19" t="n">
        <v>173</v>
      </c>
      <c r="F1278" s="19" t="n">
        <v>4188</v>
      </c>
      <c r="G1278" s="21" t="inlineStr">
        <is>
          <t>https://guiarsanrafael.com.ar/empresa/multitecno-informatica/</t>
        </is>
      </c>
    </row>
    <row r="1279">
      <c r="A1279" s="22" t="n">
        <v>1278</v>
      </c>
      <c r="B1279" s="23" t="inlineStr">
        <is>
          <t>MUNDO BIGOTES Alimentos Balanceados</t>
        </is>
      </c>
      <c r="C1279" s="12" t="inlineStr">
        <is>
          <t>Alimentos balanceados</t>
        </is>
      </c>
      <c r="D1279" s="12" t="inlineStr">
        <is>
          <t>Alimentos balanceados</t>
        </is>
      </c>
      <c r="E1279" s="22" t="n">
        <v>44</v>
      </c>
      <c r="F1279" s="22" t="n">
        <v>9677</v>
      </c>
      <c r="G1279" s="24" t="inlineStr">
        <is>
          <t>https://guiarsanrafael.com.ar/empresa/mundo-bigotes-alimentos-balanceados/</t>
        </is>
      </c>
    </row>
    <row r="1280">
      <c r="A1280" s="19" t="n">
        <v>1279</v>
      </c>
      <c r="B1280" s="20" t="inlineStr">
        <is>
          <t>MURÚA Marcela Analía</t>
        </is>
      </c>
      <c r="C1280" s="14" t="inlineStr">
        <is>
          <t>Escribanias escribanos escribanas mandatario mandataria notarios notarias</t>
        </is>
      </c>
      <c r="D1280" s="14" t="inlineStr">
        <is>
          <t>Escribanas</t>
        </is>
      </c>
      <c r="E1280" s="19" t="n">
        <v>81</v>
      </c>
      <c r="F1280" s="19" t="n">
        <v>8206</v>
      </c>
      <c r="G1280" s="21" t="inlineStr">
        <is>
          <t>https://guiarsanrafael.com.ar/empresa/murua-marcela-analia/</t>
        </is>
      </c>
    </row>
    <row r="1281">
      <c r="A1281" s="22" t="n">
        <v>1280</v>
      </c>
      <c r="B1281" s="23" t="inlineStr">
        <is>
          <t>MUÑOZ Mirta Silvina</t>
        </is>
      </c>
      <c r="C1281" s="12" t="inlineStr">
        <is>
          <t>Escribanias escribanos escribanas mandatario mandataria notarios notarias</t>
        </is>
      </c>
      <c r="D1281" s="12" t="inlineStr">
        <is>
          <t>Escribanas</t>
        </is>
      </c>
      <c r="E1281" s="22" t="n">
        <v>81</v>
      </c>
      <c r="F1281" s="22" t="n">
        <v>8205</v>
      </c>
      <c r="G1281" s="24" t="inlineStr">
        <is>
          <t>https://guiarsanrafael.com.ar/empresa/munoz-mirta-silvina/</t>
        </is>
      </c>
    </row>
    <row r="1282">
      <c r="A1282" s="19" t="n">
        <v>1281</v>
      </c>
      <c r="B1282" s="20" t="inlineStr">
        <is>
          <t>Mx Motos</t>
        </is>
      </c>
      <c r="C1282" s="14" t="inlineStr">
        <is>
          <t>Agencias de motos</t>
        </is>
      </c>
      <c r="D1282" s="14" t="inlineStr">
        <is>
          <t>Accesorios para motos</t>
        </is>
      </c>
      <c r="E1282" s="19" t="n">
        <v>72</v>
      </c>
      <c r="F1282" s="19" t="n">
        <v>8450</v>
      </c>
      <c r="G1282" s="21" t="inlineStr">
        <is>
          <t>https://guiarsanrafael.com.ar/empresa/mx-motos/</t>
        </is>
      </c>
    </row>
    <row r="1283">
      <c r="A1283" s="22" t="n">
        <v>1282</v>
      </c>
      <c r="B1283" s="23" t="inlineStr">
        <is>
          <t>MyM Lubricentro</t>
        </is>
      </c>
      <c r="C1283" s="12" t="inlineStr">
        <is>
          <t>Lubricantes aceites lubricentro</t>
        </is>
      </c>
      <c r="D1283" s="12" t="inlineStr">
        <is>
          <t>Lubricantes</t>
        </is>
      </c>
      <c r="E1283" s="22" t="n">
        <v>49</v>
      </c>
      <c r="F1283" s="22" t="n">
        <v>9358</v>
      </c>
      <c r="G1283" s="24" t="inlineStr">
        <is>
          <t>https://guiarsanrafael.com.ar/empresa/mym-lubricentro/</t>
        </is>
      </c>
    </row>
    <row r="1284">
      <c r="A1284" s="19" t="n">
        <v>1283</v>
      </c>
      <c r="B1284" s="20" t="inlineStr">
        <is>
          <t>Módica Motos</t>
        </is>
      </c>
      <c r="C1284" s="14" t="inlineStr">
        <is>
          <t>Agencias de motos</t>
        </is>
      </c>
      <c r="D1284" s="14" t="inlineStr">
        <is>
          <t>Agencias de motos</t>
        </is>
      </c>
      <c r="E1284" s="19" t="n">
        <v>71</v>
      </c>
      <c r="F1284" s="19" t="n">
        <v>8467</v>
      </c>
      <c r="G1284" s="21" t="inlineStr">
        <is>
          <t>https://guiarsanrafael.com.ar/empresa/modica-motos/</t>
        </is>
      </c>
    </row>
    <row r="1285">
      <c r="A1285" s="22" t="n">
        <v>1284</v>
      </c>
      <c r="B1285" s="23" t="inlineStr">
        <is>
          <t>NAMIBIA Animal Hose</t>
        </is>
      </c>
      <c r="C1285" s="12" t="inlineStr">
        <is>
          <t>Alimentos balanceados</t>
        </is>
      </c>
      <c r="D1285" s="12" t="inlineStr">
        <is>
          <t>Alimentos balanceados</t>
        </is>
      </c>
      <c r="E1285" s="22" t="n">
        <v>62</v>
      </c>
      <c r="F1285" s="22" t="n">
        <v>8701</v>
      </c>
      <c r="G1285" s="24" t="inlineStr">
        <is>
          <t>https://guiarsanrafael.com.ar/empresa/namibia-animal-hose/</t>
        </is>
      </c>
    </row>
    <row r="1286">
      <c r="A1286" s="19" t="n">
        <v>1285</v>
      </c>
      <c r="B1286" s="20" t="inlineStr">
        <is>
          <t>NANO Carnicería</t>
        </is>
      </c>
      <c r="C1286" s="14" t="inlineStr">
        <is>
          <t>Carnicerias</t>
        </is>
      </c>
      <c r="D1286" s="14" t="inlineStr">
        <is>
          <t>Almacen</t>
        </is>
      </c>
      <c r="E1286" s="19" t="n">
        <v>34</v>
      </c>
      <c r="F1286" s="19" t="n">
        <v>10467</v>
      </c>
      <c r="G1286" s="21" t="inlineStr">
        <is>
          <t>https://guiarsanrafael.com.ar/empresa/nano-carniceria/</t>
        </is>
      </c>
    </row>
    <row r="1287">
      <c r="A1287" s="22" t="n">
        <v>1286</v>
      </c>
      <c r="B1287" s="23" t="inlineStr">
        <is>
          <t>NATALIA E. VAZQUEZ</t>
        </is>
      </c>
      <c r="C1287" s="12" t="inlineStr">
        <is>
          <t>Traductores ingles</t>
        </is>
      </c>
      <c r="D1287" s="12" t="inlineStr">
        <is>
          <t>Traductores</t>
        </is>
      </c>
      <c r="E1287" s="22" t="n">
        <v>106</v>
      </c>
      <c r="F1287" s="22" t="n">
        <v>7285</v>
      </c>
      <c r="G1287" s="24" t="inlineStr">
        <is>
          <t>https://guiarsanrafael.com.ar/empresa/7285/</t>
        </is>
      </c>
    </row>
    <row r="1288">
      <c r="A1288" s="19" t="n">
        <v>1287</v>
      </c>
      <c r="B1288" s="20" t="inlineStr">
        <is>
          <t>NATALIA FREIRE</t>
        </is>
      </c>
      <c r="C1288" s="14" t="inlineStr">
        <is>
          <t>Odontologia</t>
        </is>
      </c>
      <c r="D1288" s="14" t="inlineStr">
        <is>
          <t>Odontologia</t>
        </is>
      </c>
      <c r="E1288" s="19" t="n">
        <v>131</v>
      </c>
      <c r="F1288" s="19" t="n">
        <v>6279</v>
      </c>
      <c r="G1288" s="21" t="inlineStr">
        <is>
          <t>https://guiarsanrafael.com.ar/empresa/natalia-freire/</t>
        </is>
      </c>
    </row>
    <row r="1289">
      <c r="A1289" s="22" t="n">
        <v>1288</v>
      </c>
      <c r="B1289" s="23" t="inlineStr">
        <is>
          <t>NATALIA GUERRERO</t>
        </is>
      </c>
      <c r="C1289" s="12" t="inlineStr">
        <is>
          <t>Neumonologia</t>
        </is>
      </c>
      <c r="D1289" s="12" t="inlineStr">
        <is>
          <t>Neumonologia</t>
        </is>
      </c>
      <c r="E1289" s="22" t="n">
        <v>6</v>
      </c>
      <c r="F1289" s="22" t="n">
        <v>14345</v>
      </c>
      <c r="G1289" s="24" t="inlineStr">
        <is>
          <t>https://guiarsanrafael.com.ar/empresa/natalia-guerrero/</t>
        </is>
      </c>
    </row>
    <row r="1290">
      <c r="A1290" s="19" t="n">
        <v>1289</v>
      </c>
      <c r="B1290" s="20" t="inlineStr">
        <is>
          <t>Natalia Montoya</t>
        </is>
      </c>
      <c r="C1290" s="14" t="inlineStr">
        <is>
          <t>Odontologia</t>
        </is>
      </c>
      <c r="D1290" s="14" t="inlineStr">
        <is>
          <t>Odontologia</t>
        </is>
      </c>
      <c r="E1290" s="19" t="n">
        <v>102</v>
      </c>
      <c r="F1290" s="19" t="n">
        <v>7395</v>
      </c>
      <c r="G1290" s="21" t="inlineStr">
        <is>
          <t>https://guiarsanrafael.com.ar/empresa/natalia-montoya/</t>
        </is>
      </c>
    </row>
    <row r="1291">
      <c r="A1291" s="22" t="n">
        <v>1290</v>
      </c>
      <c r="B1291" s="23" t="inlineStr">
        <is>
          <t>NATALIA V. GARCIA</t>
        </is>
      </c>
      <c r="C1291" s="12" t="inlineStr">
        <is>
          <t>Psicopedagogia</t>
        </is>
      </c>
      <c r="D1291" s="12" t="inlineStr">
        <is>
          <t>Psicopedagogia</t>
        </is>
      </c>
      <c r="E1291" s="22" t="n">
        <v>35</v>
      </c>
      <c r="F1291" s="22" t="n">
        <v>10315</v>
      </c>
      <c r="G1291" s="24" t="inlineStr">
        <is>
          <t>https://guiarsanrafael.com.ar/empresa/10315/</t>
        </is>
      </c>
    </row>
    <row r="1292">
      <c r="A1292" s="19" t="n">
        <v>1291</v>
      </c>
      <c r="B1292" s="20" t="inlineStr">
        <is>
          <t>NATALIA ZINGARETTI</t>
        </is>
      </c>
      <c r="C1292" s="14" t="inlineStr">
        <is>
          <t>Pediatria neonatologia</t>
        </is>
      </c>
      <c r="D1292" s="14" t="inlineStr">
        <is>
          <t>Pediatria y neonatologia</t>
        </is>
      </c>
      <c r="E1292" s="19" t="n">
        <v>132</v>
      </c>
      <c r="F1292" s="19" t="n">
        <v>6214</v>
      </c>
      <c r="G1292" s="21" t="inlineStr">
        <is>
          <t>https://guiarsanrafael.com.ar/empresa/natalia-zingaretti/</t>
        </is>
      </c>
    </row>
    <row r="1293">
      <c r="A1293" s="22" t="n">
        <v>1292</v>
      </c>
      <c r="B1293" s="23" t="inlineStr">
        <is>
          <t>Natura Art Dietetica</t>
        </is>
      </c>
      <c r="C1293" s="12" t="inlineStr">
        <is>
          <t>Dieteticas productos naturales</t>
        </is>
      </c>
      <c r="D1293" s="12" t="inlineStr">
        <is>
          <t>Dieteticas</t>
        </is>
      </c>
      <c r="E1293" s="22" t="n">
        <v>54</v>
      </c>
      <c r="F1293" s="22" t="n">
        <v>9221</v>
      </c>
      <c r="G1293" s="24" t="inlineStr">
        <is>
          <t>https://guiarsanrafael.com.ar/empresa/natura-art-dietetica/</t>
        </is>
      </c>
    </row>
    <row r="1294">
      <c r="A1294" s="19" t="n">
        <v>1293</v>
      </c>
      <c r="B1294" s="20" t="inlineStr">
        <is>
          <t>Natural Fruit</t>
        </is>
      </c>
      <c r="C1294" s="14" t="inlineStr">
        <is>
          <t>Dieteticas productos naturales</t>
        </is>
      </c>
      <c r="D1294" s="14" t="inlineStr">
        <is>
          <t>Dieteticas</t>
        </is>
      </c>
      <c r="E1294" s="19" t="n">
        <v>55</v>
      </c>
      <c r="F1294" s="19" t="n">
        <v>9238</v>
      </c>
      <c r="G1294" s="21" t="inlineStr">
        <is>
          <t>https://guiarsanrafael.com.ar/empresa/natural-fruit/</t>
        </is>
      </c>
    </row>
    <row r="1295">
      <c r="A1295" s="22" t="n">
        <v>1294</v>
      </c>
      <c r="B1295" s="23" t="inlineStr">
        <is>
          <t>Natural Fruit Tienda Saludable</t>
        </is>
      </c>
      <c r="C1295" s="12" t="inlineStr">
        <is>
          <t>Dieteticas productos naturales</t>
        </is>
      </c>
      <c r="D1295" s="12" t="inlineStr">
        <is>
          <t>Productos naturales</t>
        </is>
      </c>
      <c r="E1295" s="22" t="n">
        <v>54</v>
      </c>
      <c r="F1295" s="22" t="n">
        <v>9228</v>
      </c>
      <c r="G1295" s="24" t="inlineStr">
        <is>
          <t>https://guiarsanrafael.com.ar/empresa/natural-fruit-tienda-saludable/</t>
        </is>
      </c>
    </row>
    <row r="1296">
      <c r="A1296" s="19" t="n">
        <v>1295</v>
      </c>
      <c r="B1296" s="20" t="inlineStr">
        <is>
          <t>NAVATTINI  Insumos para Manicuria</t>
        </is>
      </c>
      <c r="C1296" s="14" t="inlineStr">
        <is>
          <t>Insumos para estetica</t>
        </is>
      </c>
      <c r="D1296" s="14" t="inlineStr">
        <is>
          <t>Insumos para estetica</t>
        </is>
      </c>
      <c r="E1296" s="19" t="n">
        <v>33</v>
      </c>
      <c r="F1296" s="19" t="n">
        <v>10707</v>
      </c>
      <c r="G1296" s="21" t="inlineStr">
        <is>
          <t>https://guiarsanrafael.com.ar/empresa/navattini-insumos-para-manicuria/</t>
        </is>
      </c>
    </row>
    <row r="1297">
      <c r="A1297" s="22" t="n">
        <v>1296</v>
      </c>
      <c r="B1297" s="23" t="inlineStr">
        <is>
          <t>NC MATERIALES</t>
        </is>
      </c>
      <c r="C1297" s="12" t="inlineStr">
        <is>
          <t>Ferreterias herramientas</t>
        </is>
      </c>
      <c r="D1297" s="12" t="inlineStr">
        <is>
          <t>Ferreterias</t>
        </is>
      </c>
      <c r="E1297" s="22" t="n">
        <v>21</v>
      </c>
      <c r="F1297" s="22" t="n">
        <v>12087</v>
      </c>
      <c r="G1297" s="24" t="inlineStr">
        <is>
          <t>https://guiarsanrafael.com.ar/empresa/nc-materiales/</t>
        </is>
      </c>
    </row>
    <row r="1298">
      <c r="A1298" s="19" t="n">
        <v>1297</v>
      </c>
      <c r="B1298" s="20" t="inlineStr">
        <is>
          <t>Nelly Bonoso</t>
        </is>
      </c>
      <c r="C1298" s="14" t="inlineStr">
        <is>
          <t>Odontologia</t>
        </is>
      </c>
      <c r="D1298" s="14" t="inlineStr">
        <is>
          <t>Odontologia</t>
        </is>
      </c>
      <c r="E1298" s="19" t="n">
        <v>104</v>
      </c>
      <c r="F1298" s="19" t="n">
        <v>7367</v>
      </c>
      <c r="G1298" s="21" t="inlineStr">
        <is>
          <t>https://guiarsanrafael.com.ar/empresa/nelly-bonoso/</t>
        </is>
      </c>
    </row>
    <row r="1299">
      <c r="A1299" s="22" t="n">
        <v>1298</v>
      </c>
      <c r="B1299" s="23" t="inlineStr">
        <is>
          <t>NET ACCESS Computación</t>
        </is>
      </c>
      <c r="C1299" s="12" t="inlineStr">
        <is>
          <t>Computacion informatica</t>
        </is>
      </c>
      <c r="D1299" s="12" t="inlineStr">
        <is>
          <t>Computacion</t>
        </is>
      </c>
      <c r="E1299" s="22" t="n">
        <v>137</v>
      </c>
      <c r="F1299" s="22" t="n">
        <v>5908</v>
      </c>
      <c r="G1299" s="24" t="inlineStr">
        <is>
          <t>https://guiarsanrafael.com.ar/empresa/net-access-computacion/</t>
        </is>
      </c>
    </row>
    <row r="1300">
      <c r="A1300" s="19" t="n">
        <v>1299</v>
      </c>
      <c r="B1300" s="20" t="inlineStr">
        <is>
          <t>NEUMATICOS CAMILETTI</t>
        </is>
      </c>
      <c r="C1300" s="14" t="inlineStr">
        <is>
          <t>Alineacion y balanceo</t>
        </is>
      </c>
      <c r="D1300" s="14" t="inlineStr">
        <is>
          <t>Alineacion y balanceo</t>
        </is>
      </c>
      <c r="E1300" s="19" t="n">
        <v>180</v>
      </c>
      <c r="F1300" s="19" t="n">
        <v>3920</v>
      </c>
      <c r="G1300" s="21" t="inlineStr">
        <is>
          <t>https://guiarsanrafael.com.ar/empresa/neumaticos-camietti/</t>
        </is>
      </c>
    </row>
    <row r="1301">
      <c r="A1301" s="22" t="n">
        <v>1300</v>
      </c>
      <c r="B1301" s="23" t="inlineStr">
        <is>
          <t>NEUMATICOS MORENO</t>
        </is>
      </c>
      <c r="C1301" s="12" t="inlineStr">
        <is>
          <t>Alineacion y balanceo</t>
        </is>
      </c>
      <c r="D1301" s="12" t="inlineStr">
        <is>
          <t>Autopartes</t>
        </is>
      </c>
      <c r="E1301" s="22" t="n">
        <v>165</v>
      </c>
      <c r="F1301" s="22" t="n">
        <v>5000</v>
      </c>
      <c r="G1301" s="24" t="inlineStr">
        <is>
          <t>https://guiarsanrafael.com.ar/empresa/neumaticos-moreno/</t>
        </is>
      </c>
    </row>
    <row r="1302">
      <c r="A1302" s="19" t="n">
        <v>1301</v>
      </c>
      <c r="B1302" s="20" t="inlineStr">
        <is>
          <t>NEUMATICOS SAN JOSE</t>
        </is>
      </c>
      <c r="C1302" s="14" t="inlineStr">
        <is>
          <t>Alineacion y balanceo</t>
        </is>
      </c>
      <c r="D1302" s="14" t="inlineStr">
        <is>
          <t>Alineacion y balanceo</t>
        </is>
      </c>
      <c r="E1302" s="19" t="n">
        <v>11</v>
      </c>
      <c r="F1302" s="19" t="n">
        <v>13317</v>
      </c>
      <c r="G1302" s="21" t="inlineStr">
        <is>
          <t>https://guiarsanrafael.com.ar/empresa/neumaticos-san-jose/</t>
        </is>
      </c>
    </row>
    <row r="1303">
      <c r="A1303" s="22" t="n">
        <v>1302</v>
      </c>
      <c r="B1303" s="23" t="inlineStr">
        <is>
          <t>NEUTRA Neurología y Traumatología</t>
        </is>
      </c>
      <c r="C1303" s="12" t="inlineStr">
        <is>
          <t>Centro de rehabilitacion</t>
        </is>
      </c>
      <c r="D1303" s="12" t="inlineStr">
        <is>
          <t>Centro de rehabilitacion</t>
        </is>
      </c>
      <c r="E1303" s="22" t="n">
        <v>4</v>
      </c>
      <c r="F1303" s="22" t="n">
        <v>14570</v>
      </c>
      <c r="G1303" s="24" t="inlineStr">
        <is>
          <t>https://guiarsanrafael.com.ar/empresa/neutra-neurologia-y-traumatologia/</t>
        </is>
      </c>
    </row>
    <row r="1304">
      <c r="A1304" s="19" t="n">
        <v>1303</v>
      </c>
      <c r="B1304" s="20" t="inlineStr">
        <is>
          <t>NEW STORE Servicio Técnico</t>
        </is>
      </c>
      <c r="C1304" s="14" t="inlineStr">
        <is>
          <t>Accesorios de telefonia celular</t>
        </is>
      </c>
      <c r="D1304" s="14" t="inlineStr">
        <is>
          <t>Accesorios de telefonia</t>
        </is>
      </c>
      <c r="E1304" s="19" t="n">
        <v>33</v>
      </c>
      <c r="F1304" s="19" t="n">
        <v>10667</v>
      </c>
      <c r="G1304" s="21" t="inlineStr">
        <is>
          <t>https://guiarsanrafael.com.ar/empresa/new-store-servicio-tecnico/</t>
        </is>
      </c>
    </row>
    <row r="1305">
      <c r="A1305" s="22" t="n">
        <v>1304</v>
      </c>
      <c r="B1305" s="23" t="inlineStr">
        <is>
          <t>NEWEN Construcciones</t>
        </is>
      </c>
      <c r="C1305" s="12" t="inlineStr">
        <is>
          <t>Aislantes impemeabilizantes</t>
        </is>
      </c>
      <c r="D1305" s="12" t="inlineStr">
        <is>
          <t>Aislantes 2</t>
        </is>
      </c>
      <c r="E1305" s="22" t="n">
        <v>161</v>
      </c>
      <c r="F1305" s="22" t="n">
        <v>5216</v>
      </c>
      <c r="G1305" s="24" t="inlineStr">
        <is>
          <t>https://guiarsanrafael.com.ar/empresa/newen-construcciones/</t>
        </is>
      </c>
    </row>
    <row r="1306">
      <c r="A1306" s="19" t="n">
        <v>1305</v>
      </c>
      <c r="B1306" s="20" t="inlineStr">
        <is>
          <t>NICOL MOLINA</t>
        </is>
      </c>
      <c r="C1306" s="14" t="inlineStr">
        <is>
          <t>Kinesiologia y fisioterapia</t>
        </is>
      </c>
      <c r="D1306" s="14" t="inlineStr">
        <is>
          <t>Centro de rehabilitacion</t>
        </is>
      </c>
      <c r="E1306" s="19" t="n">
        <v>62</v>
      </c>
      <c r="F1306" s="19" t="n">
        <v>8734</v>
      </c>
      <c r="G1306" s="21" t="inlineStr">
        <is>
          <t>https://guiarsanrafael.com.ar/empresa/nicol-molina/</t>
        </is>
      </c>
    </row>
    <row r="1307">
      <c r="A1307" s="22" t="n">
        <v>1306</v>
      </c>
      <c r="B1307" s="23" t="inlineStr">
        <is>
          <t>NICOLAS ROLAN</t>
        </is>
      </c>
      <c r="C1307" s="12" t="inlineStr">
        <is>
          <t>Neumonologia</t>
        </is>
      </c>
      <c r="D1307" s="12" t="inlineStr">
        <is>
          <t>Neumonologia</t>
        </is>
      </c>
      <c r="E1307" s="22" t="n">
        <v>6</v>
      </c>
      <c r="F1307" s="22" t="n">
        <v>14342</v>
      </c>
      <c r="G1307" s="24" t="inlineStr">
        <is>
          <t>https://guiarsanrafael.com.ar/empresa/nicolas-rolan/</t>
        </is>
      </c>
    </row>
    <row r="1308">
      <c r="A1308" s="19" t="n">
        <v>1307</v>
      </c>
      <c r="B1308" s="20" t="inlineStr">
        <is>
          <t>Nicolás Moya</t>
        </is>
      </c>
      <c r="C1308" s="14" t="inlineStr">
        <is>
          <t>Nutricion nutricionistas</t>
        </is>
      </c>
      <c r="D1308" s="14" t="inlineStr">
        <is>
          <t>Nutricionistas</t>
        </is>
      </c>
      <c r="E1308" s="19" t="n">
        <v>149</v>
      </c>
      <c r="F1308" s="19" t="n">
        <v>5430</v>
      </c>
      <c r="G1308" s="21" t="inlineStr">
        <is>
          <t>https://guiarsanrafael.com.ar/empresa/nicolas-moya/</t>
        </is>
      </c>
    </row>
    <row r="1309">
      <c r="A1309" s="22" t="n">
        <v>1308</v>
      </c>
      <c r="B1309" s="23" t="inlineStr">
        <is>
          <t>NICOLÁS SCARPONI</t>
        </is>
      </c>
      <c r="C1309" s="12" t="inlineStr">
        <is>
          <t>Cirujanos cirugia</t>
        </is>
      </c>
      <c r="D1309" s="12" t="inlineStr">
        <is>
          <t>Cirujanos</t>
        </is>
      </c>
      <c r="E1309" s="22" t="n">
        <v>161</v>
      </c>
      <c r="F1309" s="22" t="n">
        <v>5232</v>
      </c>
      <c r="G1309" s="24" t="inlineStr">
        <is>
          <t>https://guiarsanrafael.com.ar/empresa/nicolas-scarponi/</t>
        </is>
      </c>
    </row>
    <row r="1310">
      <c r="A1310" s="19" t="n">
        <v>1309</v>
      </c>
      <c r="B1310" s="20" t="inlineStr">
        <is>
          <t>NICOLÓ Pastas y Salsas</t>
        </is>
      </c>
      <c r="C1310" s="14" t="inlineStr">
        <is>
          <t>Fabrica de pastas</t>
        </is>
      </c>
      <c r="D1310" s="14" t="inlineStr">
        <is>
          <t>Fabrica de pastas</t>
        </is>
      </c>
      <c r="E1310" s="19" t="n">
        <v>39</v>
      </c>
      <c r="F1310" s="19" t="n">
        <v>10186</v>
      </c>
      <c r="G1310" s="21" t="inlineStr">
        <is>
          <t>https://guiarsanrafael.com.ar/empresa/nicolo-pastas-y-salsas/</t>
        </is>
      </c>
    </row>
    <row r="1311">
      <c r="A1311" s="22" t="n">
        <v>1310</v>
      </c>
      <c r="B1311" s="23" t="inlineStr">
        <is>
          <t>NIHUIL Construcciones s.a.</t>
        </is>
      </c>
      <c r="C1311" s="12" t="inlineStr">
        <is>
          <t>Constructoras</t>
        </is>
      </c>
      <c r="D1311" s="12" t="inlineStr">
        <is>
          <t>Constructoras</t>
        </is>
      </c>
      <c r="E1311" s="22" t="n">
        <v>21</v>
      </c>
      <c r="F1311" s="22" t="n">
        <v>12078</v>
      </c>
      <c r="G1311" s="24" t="inlineStr">
        <is>
          <t>https://guiarsanrafael.com.ar/empresa/nihuil-construcciones-s-a/</t>
        </is>
      </c>
    </row>
    <row r="1312">
      <c r="A1312" s="19" t="n">
        <v>1311</v>
      </c>
      <c r="B1312" s="20" t="inlineStr">
        <is>
          <t>NOBEL 2 Bazar</t>
        </is>
      </c>
      <c r="C1312" s="14" t="inlineStr">
        <is>
          <t>Bazar regaleria</t>
        </is>
      </c>
      <c r="D1312" s="14" t="inlineStr">
        <is>
          <t>Bazar regaleria</t>
        </is>
      </c>
      <c r="E1312" s="19" t="n">
        <v>2</v>
      </c>
      <c r="F1312" s="19" t="n">
        <v>14965</v>
      </c>
      <c r="G1312" s="21" t="inlineStr">
        <is>
          <t>https://guiarsanrafael.com.ar/empresa/nobel-2-bazar/</t>
        </is>
      </c>
    </row>
    <row r="1313">
      <c r="A1313" s="22" t="n">
        <v>1312</v>
      </c>
      <c r="B1313" s="23" t="inlineStr">
        <is>
          <t>NOBEL Bazar Mayorista</t>
        </is>
      </c>
      <c r="C1313" s="12" t="inlineStr">
        <is>
          <t>Bazar regaleria</t>
        </is>
      </c>
      <c r="D1313" s="12" t="inlineStr">
        <is>
          <t>Bazar regaleria</t>
        </is>
      </c>
      <c r="E1313" s="22" t="n">
        <v>94</v>
      </c>
      <c r="F1313" s="22" t="n">
        <v>7748</v>
      </c>
      <c r="G1313" s="24" t="inlineStr">
        <is>
          <t>https://guiarsanrafael.com.ar/empresa/nobel-mayorista/</t>
        </is>
      </c>
    </row>
    <row r="1314">
      <c r="A1314" s="19" t="n">
        <v>1313</v>
      </c>
      <c r="B1314" s="20" t="inlineStr">
        <is>
          <t>Noelia Barrenechea</t>
        </is>
      </c>
      <c r="C1314" s="14" t="inlineStr">
        <is>
          <t>Nutricion nutricionistas</t>
        </is>
      </c>
      <c r="D1314" s="14" t="inlineStr">
        <is>
          <t>Nutricionistas</t>
        </is>
      </c>
      <c r="E1314" s="19" t="n">
        <v>150</v>
      </c>
      <c r="F1314" s="19" t="n">
        <v>5419</v>
      </c>
      <c r="G1314" s="21" t="inlineStr">
        <is>
          <t>https://guiarsanrafael.com.ar/empresa/noelia-barrenechea/</t>
        </is>
      </c>
    </row>
    <row r="1315">
      <c r="A1315" s="22" t="n">
        <v>1314</v>
      </c>
      <c r="B1315" s="23" t="inlineStr">
        <is>
          <t>Noelia L. Casado</t>
        </is>
      </c>
      <c r="C1315" s="12" t="inlineStr">
        <is>
          <t>Odontologia</t>
        </is>
      </c>
      <c r="D1315" s="12" t="inlineStr">
        <is>
          <t>Odontologia</t>
        </is>
      </c>
      <c r="E1315" s="22" t="n">
        <v>104</v>
      </c>
      <c r="F1315" s="22" t="n">
        <v>7371</v>
      </c>
      <c r="G1315" s="24" t="inlineStr">
        <is>
          <t>https://guiarsanrafael.com.ar/empresa/noelia-l-casado/</t>
        </is>
      </c>
    </row>
    <row r="1316">
      <c r="A1316" s="19" t="n">
        <v>1315</v>
      </c>
      <c r="B1316" s="20" t="inlineStr">
        <is>
          <t>Noelia Senarega</t>
        </is>
      </c>
      <c r="C1316" s="14" t="inlineStr">
        <is>
          <t>Psicologia</t>
        </is>
      </c>
      <c r="D1316" s="14" t="inlineStr">
        <is>
          <t>Psicologia</t>
        </is>
      </c>
      <c r="E1316" s="19" t="n">
        <v>144</v>
      </c>
      <c r="F1316" s="19" t="n">
        <v>5516</v>
      </c>
      <c r="G1316" s="21" t="inlineStr">
        <is>
          <t>https://guiarsanrafael.com.ar/empresa/noelia-senarega/</t>
        </is>
      </c>
    </row>
    <row r="1317">
      <c r="A1317" s="22" t="n">
        <v>1316</v>
      </c>
      <c r="B1317" s="23" t="inlineStr">
        <is>
          <t>NORBERTO MOLZALVO</t>
        </is>
      </c>
      <c r="C1317" s="12" t="inlineStr">
        <is>
          <t>Agrimensores agrimensura estudios tecnicos</t>
        </is>
      </c>
      <c r="D1317" s="12" t="inlineStr">
        <is>
          <t>Agrimensores</t>
        </is>
      </c>
      <c r="E1317" s="22" t="n">
        <v>134</v>
      </c>
      <c r="F1317" s="22" t="n">
        <v>6084</v>
      </c>
      <c r="G1317" s="24" t="inlineStr">
        <is>
          <t>https://guiarsanrafael.com.ar/empresa/norberto-molzalvo/</t>
        </is>
      </c>
    </row>
    <row r="1318">
      <c r="A1318" s="19" t="n">
        <v>1317</v>
      </c>
      <c r="B1318" s="20" t="inlineStr">
        <is>
          <t>NORT Revestimientos San Rafael</t>
        </is>
      </c>
      <c r="C1318" s="14" t="inlineStr">
        <is>
          <t>Aislantes impemeabilizantes</t>
        </is>
      </c>
      <c r="D1318" s="14" t="inlineStr">
        <is>
          <t>Materiales de construccion</t>
        </is>
      </c>
      <c r="E1318" s="19" t="n">
        <v>39</v>
      </c>
      <c r="F1318" s="19" t="n">
        <v>10178</v>
      </c>
      <c r="G1318" s="21" t="inlineStr">
        <is>
          <t>https://guiarsanrafael.com.ar/empresa/nort-revestimientos-san-rafael/</t>
        </is>
      </c>
    </row>
    <row r="1319">
      <c r="A1319" s="22" t="n">
        <v>1318</v>
      </c>
      <c r="B1319" s="23" t="inlineStr">
        <is>
          <t>NOVA Diseño y Publicidad</t>
        </is>
      </c>
      <c r="C1319" s="12" t="inlineStr">
        <is>
          <t>Carteleria graficas ploteados letreros</t>
        </is>
      </c>
      <c r="D1319" s="12" t="inlineStr">
        <is>
          <t>Carteleria</t>
        </is>
      </c>
      <c r="E1319" s="22" t="n">
        <v>123</v>
      </c>
      <c r="F1319" s="22" t="n">
        <v>6813</v>
      </c>
      <c r="G1319" s="24" t="inlineStr">
        <is>
          <t>https://guiarsanrafael.com.ar/empresa/nova-diseno-y-publicidad/</t>
        </is>
      </c>
    </row>
    <row r="1320">
      <c r="A1320" s="19" t="n">
        <v>1319</v>
      </c>
      <c r="B1320" s="20" t="inlineStr">
        <is>
          <t>NUEVA CASA ARTIGAS</t>
        </is>
      </c>
      <c r="C1320" s="14" t="inlineStr">
        <is>
          <t>Electrodomesticos repuestos</t>
        </is>
      </c>
      <c r="D1320" s="14" t="inlineStr">
        <is>
          <t>Repuestos de electrodomesticos</t>
        </is>
      </c>
      <c r="E1320" s="19" t="n">
        <v>60</v>
      </c>
      <c r="F1320" s="19" t="n">
        <v>8832</v>
      </c>
      <c r="G1320" s="21" t="inlineStr">
        <is>
          <t>https://guiarsanrafael.com.ar/empresa/nueva-casa-artigas/</t>
        </is>
      </c>
    </row>
    <row r="1321">
      <c r="A1321" s="22" t="n">
        <v>1320</v>
      </c>
      <c r="B1321" s="23" t="inlineStr">
        <is>
          <t>Nuevo Mundo</t>
        </is>
      </c>
      <c r="C1321" s="12" t="inlineStr">
        <is>
          <t>Hoteles hostel hoteleria</t>
        </is>
      </c>
      <c r="D1321" s="12" t="inlineStr">
        <is>
          <t>Alojamientos</t>
        </is>
      </c>
      <c r="E1321" s="22" t="n">
        <v>92</v>
      </c>
      <c r="F1321" s="22" t="n">
        <v>7842</v>
      </c>
      <c r="G1321" s="24" t="inlineStr">
        <is>
          <t>https://guiarsanrafael.com.ar/empresa/nuevo-mundo/</t>
        </is>
      </c>
    </row>
    <row r="1322">
      <c r="A1322" s="19" t="n">
        <v>1321</v>
      </c>
      <c r="B1322" s="20" t="inlineStr">
        <is>
          <t>Nutri Sabor</t>
        </is>
      </c>
      <c r="C1322" s="14" t="inlineStr">
        <is>
          <t>Dieteticas productos naturales</t>
        </is>
      </c>
      <c r="D1322" s="14" t="inlineStr">
        <is>
          <t>Dieteticas</t>
        </is>
      </c>
      <c r="E1322" s="19" t="n">
        <v>54</v>
      </c>
      <c r="F1322" s="19" t="n">
        <v>9222</v>
      </c>
      <c r="G1322" s="21" t="inlineStr">
        <is>
          <t>https://guiarsanrafael.com.ar/empresa/nutri-sabor/</t>
        </is>
      </c>
    </row>
    <row r="1323">
      <c r="A1323" s="22" t="n">
        <v>1322</v>
      </c>
      <c r="B1323" s="23" t="inlineStr">
        <is>
          <t>Nutri Tienda</t>
        </is>
      </c>
      <c r="C1323" s="12" t="inlineStr">
        <is>
          <t>Dieteticas productos naturales</t>
        </is>
      </c>
      <c r="D1323" s="12" t="inlineStr">
        <is>
          <t>Productos naturales</t>
        </is>
      </c>
      <c r="E1323" s="22" t="n">
        <v>54</v>
      </c>
      <c r="F1323" s="22" t="n">
        <v>9227</v>
      </c>
      <c r="G1323" s="24" t="inlineStr">
        <is>
          <t>https://guiarsanrafael.com.ar/empresa/nutri-tienda/</t>
        </is>
      </c>
    </row>
    <row r="1324">
      <c r="A1324" s="19" t="n">
        <v>1323</v>
      </c>
      <c r="B1324" s="20" t="inlineStr">
        <is>
          <t>NUTRIMENTO Casa de Mascotas</t>
        </is>
      </c>
      <c r="C1324" s="14" t="inlineStr">
        <is>
          <t>Alimentos balanceados</t>
        </is>
      </c>
      <c r="D1324" s="14" t="inlineStr">
        <is>
          <t>Alimentos balanceados</t>
        </is>
      </c>
      <c r="E1324" s="19" t="n">
        <v>16</v>
      </c>
      <c r="F1324" s="19" t="n">
        <v>12611</v>
      </c>
      <c r="G1324" s="21" t="inlineStr">
        <is>
          <t>https://guiarsanrafael.com.ar/empresa/nutrimento-casa-de-mascotas/</t>
        </is>
      </c>
    </row>
    <row r="1325">
      <c r="A1325" s="22" t="n">
        <v>1324</v>
      </c>
      <c r="B1325" s="23" t="inlineStr">
        <is>
          <t>Ochoa Marisa E.</t>
        </is>
      </c>
      <c r="C1325" s="12" t="inlineStr">
        <is>
          <t>Abogados abogadas estudios juridicos</t>
        </is>
      </c>
      <c r="D1325" s="12" t="inlineStr">
        <is>
          <t>Abogadas</t>
        </is>
      </c>
      <c r="E1325" s="22" t="n">
        <v>120</v>
      </c>
      <c r="F1325" s="22" t="n">
        <v>7112</v>
      </c>
      <c r="G1325" s="24" t="inlineStr">
        <is>
          <t>https://guiarsanrafael.com.ar/empresa/ochoa-marisa-e/</t>
        </is>
      </c>
    </row>
    <row r="1326">
      <c r="A1326" s="19" t="n">
        <v>1325</v>
      </c>
      <c r="B1326" s="20" t="inlineStr">
        <is>
          <t>ODONTO CUYO insumos odontológicos</t>
        </is>
      </c>
      <c r="C1326" s="14" t="inlineStr">
        <is>
          <t>Equipamientos odontologicos</t>
        </is>
      </c>
      <c r="D1326" s="14" t="inlineStr">
        <is>
          <t>Equipamientos odontologicos</t>
        </is>
      </c>
      <c r="E1326" s="19" t="n">
        <v>140</v>
      </c>
      <c r="F1326" s="19" t="n">
        <v>5634</v>
      </c>
      <c r="G1326" s="21" t="inlineStr">
        <is>
          <t>https://guiarsanrafael.com.ar/empresa/odonto-cuyo-insumos-odontologicos/</t>
        </is>
      </c>
    </row>
    <row r="1327">
      <c r="A1327" s="22" t="n">
        <v>1326</v>
      </c>
      <c r="B1327" s="23" t="inlineStr">
        <is>
          <t>OESTE MOTOS Mecánica &amp; Repuestos</t>
        </is>
      </c>
      <c r="C1327" s="12" t="inlineStr">
        <is>
          <t>Mecanica de motos</t>
        </is>
      </c>
      <c r="D1327" s="12" t="inlineStr">
        <is>
          <t>Accesorios para motos</t>
        </is>
      </c>
      <c r="E1327" s="22" t="n">
        <v>71</v>
      </c>
      <c r="F1327" s="22" t="n">
        <v>8446</v>
      </c>
      <c r="G1327" s="24" t="inlineStr">
        <is>
          <t>https://guiarsanrafael.com.ar/empresa/oeste-motos/</t>
        </is>
      </c>
    </row>
    <row r="1328">
      <c r="A1328" s="19" t="n">
        <v>1327</v>
      </c>
      <c r="B1328" s="20" t="inlineStr">
        <is>
          <t>Oga	Cristian Yoel</t>
        </is>
      </c>
      <c r="C1328" s="14" t="inlineStr">
        <is>
          <t>Abogados abogadas estudios juridicos</t>
        </is>
      </c>
      <c r="D1328" s="14" t="inlineStr">
        <is>
          <t>Abogados</t>
        </is>
      </c>
      <c r="E1328" s="19" t="n">
        <v>113</v>
      </c>
      <c r="F1328" s="19" t="n">
        <v>7191</v>
      </c>
      <c r="G1328" s="21" t="inlineStr">
        <is>
          <t>https://guiarsanrafael.com.ar/empresa/ogacristian-yoel/</t>
        </is>
      </c>
    </row>
    <row r="1329">
      <c r="A1329" s="22" t="n">
        <v>1328</v>
      </c>
      <c r="B1329" s="23" t="inlineStr">
        <is>
          <t>Ojeda Bernabé Maria Luz</t>
        </is>
      </c>
      <c r="C1329" s="12" t="inlineStr">
        <is>
          <t>Abogados abogadas estudios juridicos</t>
        </is>
      </c>
      <c r="D1329" s="12" t="inlineStr">
        <is>
          <t>Abogadas</t>
        </is>
      </c>
      <c r="E1329" s="22" t="n">
        <v>108</v>
      </c>
      <c r="F1329" s="22" t="n">
        <v>7258</v>
      </c>
      <c r="G1329" s="24" t="inlineStr">
        <is>
          <t>https://guiarsanrafael.com.ar/empresa/ojeda-bernabe-maria-luz/</t>
        </is>
      </c>
    </row>
    <row r="1330">
      <c r="A1330" s="19" t="n">
        <v>1329</v>
      </c>
      <c r="B1330" s="20" t="inlineStr">
        <is>
          <t>Olivos y Retamos</t>
        </is>
      </c>
      <c r="C1330" s="14" t="inlineStr">
        <is>
          <t>Complejo turisticos</t>
        </is>
      </c>
      <c r="D1330" s="14" t="inlineStr">
        <is>
          <t>Alojamientos</t>
        </is>
      </c>
      <c r="E1330" s="19" t="n">
        <v>59</v>
      </c>
      <c r="F1330" s="19" t="n">
        <v>8921</v>
      </c>
      <c r="G1330" s="21" t="inlineStr">
        <is>
          <t>https://guiarsanrafael.com.ar/empresa/olivos-y-retamos/</t>
        </is>
      </c>
    </row>
    <row r="1331">
      <c r="A1331" s="22" t="n">
        <v>1330</v>
      </c>
      <c r="B1331" s="23" t="inlineStr">
        <is>
          <t>Olmedo Diana Laura</t>
        </is>
      </c>
      <c r="C1331" s="12" t="inlineStr">
        <is>
          <t>Abogados abogadas estudios juridicos</t>
        </is>
      </c>
      <c r="D1331" s="12" t="inlineStr">
        <is>
          <t>Abogadas</t>
        </is>
      </c>
      <c r="E1331" s="22" t="n">
        <v>112</v>
      </c>
      <c r="F1331" s="22" t="n">
        <v>7197</v>
      </c>
      <c r="G1331" s="24" t="inlineStr">
        <is>
          <t>https://guiarsanrafael.com.ar/empresa/olmedo-diana-laura/</t>
        </is>
      </c>
    </row>
    <row r="1332">
      <c r="A1332" s="19" t="n">
        <v>1331</v>
      </c>
      <c r="B1332" s="20" t="inlineStr">
        <is>
          <t>OM – Oncológico Médico</t>
        </is>
      </c>
      <c r="C1332" s="14" t="inlineStr">
        <is>
          <t>Institutos medicos consultorios medicos</t>
        </is>
      </c>
      <c r="D1332" s="14" t="inlineStr">
        <is>
          <t>Centro oncologico</t>
        </is>
      </c>
      <c r="E1332" s="19" t="n">
        <v>154</v>
      </c>
      <c r="F1332" s="19" t="n">
        <v>5369</v>
      </c>
      <c r="G1332" s="21" t="inlineStr">
        <is>
          <t>https://guiarsanrafael.com.ar/empresa/om-instituto-medico-oncologico/</t>
        </is>
      </c>
    </row>
    <row r="1333">
      <c r="A1333" s="22" t="n">
        <v>1332</v>
      </c>
      <c r="B1333" s="23" t="inlineStr">
        <is>
          <t>OMAR ALLOLIO Servicio Mecánico</t>
        </is>
      </c>
      <c r="C1333" s="12" t="inlineStr">
        <is>
          <t>Diagnostico computarizado mecanica</t>
        </is>
      </c>
      <c r="D1333" s="12" t="inlineStr">
        <is>
          <t>Diagnostico computarizado</t>
        </is>
      </c>
      <c r="E1333" s="22" t="n">
        <v>140</v>
      </c>
      <c r="F1333" s="22" t="n">
        <v>5609</v>
      </c>
      <c r="G1333" s="24" t="inlineStr">
        <is>
          <t>https://guiarsanrafael.com.ar/empresa/omar-allolio-servicio-mecanico/</t>
        </is>
      </c>
    </row>
    <row r="1334">
      <c r="A1334" s="19" t="n">
        <v>1333</v>
      </c>
      <c r="B1334" s="20" t="inlineStr">
        <is>
          <t>Omar Zapata</t>
        </is>
      </c>
      <c r="C1334" s="14" t="inlineStr">
        <is>
          <t>Pediatria neonatologia</t>
        </is>
      </c>
      <c r="D1334" s="14" t="inlineStr">
        <is>
          <t>Psicologia</t>
        </is>
      </c>
      <c r="E1334" s="19" t="n">
        <v>146</v>
      </c>
      <c r="F1334" s="19" t="n">
        <v>5483</v>
      </c>
      <c r="G1334" s="21" t="inlineStr">
        <is>
          <t>https://guiarsanrafael.com.ar/empresa/omar-zapata/</t>
        </is>
      </c>
    </row>
    <row r="1335">
      <c r="A1335" s="22" t="n">
        <v>1334</v>
      </c>
      <c r="B1335" s="23" t="inlineStr">
        <is>
          <t>OMEGA SANEAMIENTOS</t>
        </is>
      </c>
      <c r="C1335" s="12" t="inlineStr">
        <is>
          <t>Agroquimicos</t>
        </is>
      </c>
      <c r="D1335" s="12" t="inlineStr">
        <is>
          <t>Agroquimicos</t>
        </is>
      </c>
      <c r="E1335" s="22" t="n">
        <v>95</v>
      </c>
      <c r="F1335" s="22" t="n">
        <v>7686</v>
      </c>
      <c r="G1335" s="24" t="inlineStr">
        <is>
          <t>https://guiarsanrafael.com.ar/empresa/omega-saneamientos/</t>
        </is>
      </c>
    </row>
    <row r="1336">
      <c r="A1336" s="19" t="n">
        <v>1335</v>
      </c>
      <c r="B1336" s="20" t="inlineStr">
        <is>
          <t>Ontivero Analía</t>
        </is>
      </c>
      <c r="C1336" s="14" t="inlineStr">
        <is>
          <t>Psicologia</t>
        </is>
      </c>
      <c r="D1336" s="14" t="inlineStr">
        <is>
          <t>Psicologia</t>
        </is>
      </c>
      <c r="E1336" s="19" t="n">
        <v>144</v>
      </c>
      <c r="F1336" s="19" t="n">
        <v>5510</v>
      </c>
      <c r="G1336" s="21" t="inlineStr">
        <is>
          <t>https://guiarsanrafael.com.ar/empresa/ontivero-analia/</t>
        </is>
      </c>
    </row>
    <row r="1337">
      <c r="A1337" s="22" t="n">
        <v>1336</v>
      </c>
      <c r="B1337" s="23" t="inlineStr">
        <is>
          <t>OPALO Tienda Holistica</t>
        </is>
      </c>
      <c r="C1337" s="12" t="inlineStr">
        <is>
          <t>Tienda holistica</t>
        </is>
      </c>
      <c r="D1337" s="12" t="inlineStr">
        <is>
          <t>Tienda holistica 3</t>
        </is>
      </c>
      <c r="E1337" s="22" t="n">
        <v>169</v>
      </c>
      <c r="F1337" s="22" t="n">
        <v>4629</v>
      </c>
      <c r="G1337" s="24" t="inlineStr">
        <is>
          <t>https://guiarsanrafael.com.ar/empresa/opalo-tienda-holistica/</t>
        </is>
      </c>
    </row>
    <row r="1338">
      <c r="A1338" s="19" t="n">
        <v>1337</v>
      </c>
      <c r="B1338" s="20" t="inlineStr">
        <is>
          <t>OPORTO Almacén de Comidas</t>
        </is>
      </c>
      <c r="C1338" s="14" t="inlineStr">
        <is>
          <t>Casa de comidas rotiseria viandas</t>
        </is>
      </c>
      <c r="D1338" s="14" t="inlineStr">
        <is>
          <t>Casa de comidas</t>
        </is>
      </c>
      <c r="E1338" s="19" t="n">
        <v>31</v>
      </c>
      <c r="F1338" s="19" t="n">
        <v>10995</v>
      </c>
      <c r="G1338" s="21" t="inlineStr">
        <is>
          <t>https://guiarsanrafael.com.ar/empresa/oporto-almacen-de-comidas/</t>
        </is>
      </c>
    </row>
    <row r="1339">
      <c r="A1339" s="22" t="n">
        <v>1338</v>
      </c>
      <c r="B1339" s="23" t="inlineStr">
        <is>
          <t>Organización Cerbetto</t>
        </is>
      </c>
      <c r="C1339" s="12" t="inlineStr">
        <is>
          <t>Repuestos del automotor autopartes</t>
        </is>
      </c>
      <c r="D1339" s="12" t="inlineStr">
        <is>
          <t>Repuestos del automotor</t>
        </is>
      </c>
      <c r="E1339" s="22" t="n">
        <v>75</v>
      </c>
      <c r="F1339" s="22" t="n">
        <v>8399</v>
      </c>
      <c r="G1339" s="24" t="inlineStr">
        <is>
          <t>https://guiarsanrafael.com.ar/empresa/organizacion-cerbetto/</t>
        </is>
      </c>
    </row>
    <row r="1340">
      <c r="A1340" s="19" t="n">
        <v>1339</v>
      </c>
      <c r="B1340" s="20" t="inlineStr">
        <is>
          <t>ORGANIZACIÓN DEMURU</t>
        </is>
      </c>
      <c r="C1340" s="14" t="inlineStr">
        <is>
          <t>Productor de seguros</t>
        </is>
      </c>
      <c r="D1340" s="14" t="inlineStr">
        <is>
          <t>Productor de seguros</t>
        </is>
      </c>
      <c r="E1340" s="19" t="n">
        <v>127</v>
      </c>
      <c r="F1340" s="19" t="n">
        <v>6534</v>
      </c>
      <c r="G1340" s="21" t="inlineStr">
        <is>
          <t>https://guiarsanrafael.com.ar/empresa/organizacion-demuru/</t>
        </is>
      </c>
    </row>
    <row r="1341">
      <c r="A1341" s="22" t="n">
        <v>1340</v>
      </c>
      <c r="B1341" s="23" t="inlineStr">
        <is>
          <t>ORGANIZACIÓN FERNÁNDEZ</t>
        </is>
      </c>
      <c r="C1341" s="12" t="inlineStr">
        <is>
          <t>Productor de seguros</t>
        </is>
      </c>
      <c r="D1341" s="12" t="inlineStr">
        <is>
          <t>Productor de seguros</t>
        </is>
      </c>
      <c r="E1341" s="22" t="n">
        <v>173</v>
      </c>
      <c r="F1341" s="22" t="n">
        <v>4151</v>
      </c>
      <c r="G1341" s="24" t="inlineStr">
        <is>
          <t>https://guiarsanrafael.com.ar/empresa/organizacion-fernandez/</t>
        </is>
      </c>
    </row>
    <row r="1342">
      <c r="A1342" s="19" t="n">
        <v>1341</v>
      </c>
      <c r="B1342" s="20" t="inlineStr">
        <is>
          <t>ORIENTE Ortopedia</t>
        </is>
      </c>
      <c r="C1342" s="14" t="inlineStr">
        <is>
          <t>Ortopedias</t>
        </is>
      </c>
      <c r="D1342" s="14" t="inlineStr">
        <is>
          <t>Ortopedias</t>
        </is>
      </c>
      <c r="E1342" s="19" t="n">
        <v>139</v>
      </c>
      <c r="F1342" s="19" t="n">
        <v>5728</v>
      </c>
      <c r="G1342" s="21" t="inlineStr">
        <is>
          <t>https://guiarsanrafael.com.ar/empresa/oriente-ortopedia/</t>
        </is>
      </c>
    </row>
    <row r="1343">
      <c r="A1343" s="22" t="n">
        <v>1342</v>
      </c>
      <c r="B1343" s="23" t="inlineStr">
        <is>
          <t>ORIGEN Almacén de Fiambres</t>
        </is>
      </c>
      <c r="C1343" s="12" t="inlineStr">
        <is>
          <t>Fiambrerias</t>
        </is>
      </c>
      <c r="D1343" s="12" t="inlineStr">
        <is>
          <t>Fiamfreria</t>
        </is>
      </c>
      <c r="E1343" s="22" t="n">
        <v>94</v>
      </c>
      <c r="F1343" s="22" t="n">
        <v>7775</v>
      </c>
      <c r="G1343" s="24" t="inlineStr">
        <is>
          <t>https://guiarsanrafael.com.ar/empresa/origen-almacen-de-fiambres/</t>
        </is>
      </c>
    </row>
    <row r="1344">
      <c r="A1344" s="19" t="n">
        <v>1343</v>
      </c>
      <c r="B1344" s="20" t="inlineStr">
        <is>
          <t>ORIGEN NATURAL</t>
        </is>
      </c>
      <c r="C1344" s="14" t="inlineStr">
        <is>
          <t>Almacen natural</t>
        </is>
      </c>
      <c r="D1344" s="14" t="inlineStr">
        <is>
          <t>Productos naturales</t>
        </is>
      </c>
      <c r="E1344" s="19" t="n">
        <v>66</v>
      </c>
      <c r="F1344" s="19" t="n">
        <v>8542</v>
      </c>
      <c r="G1344" s="21" t="inlineStr">
        <is>
          <t>https://guiarsanrafael.com.ar/empresa/origen-natural/</t>
        </is>
      </c>
    </row>
    <row r="1345">
      <c r="A1345" s="22" t="n">
        <v>1344</v>
      </c>
      <c r="B1345" s="23" t="inlineStr">
        <is>
          <t>Orlando Alberto Franks</t>
        </is>
      </c>
      <c r="C1345" s="12" t="inlineStr">
        <is>
          <t>Medicina legal</t>
        </is>
      </c>
      <c r="D1345" s="12" t="inlineStr">
        <is>
          <t>Medicina general</t>
        </is>
      </c>
      <c r="E1345" s="22" t="n">
        <v>151</v>
      </c>
      <c r="F1345" s="22" t="n">
        <v>5410</v>
      </c>
      <c r="G1345" s="24" t="inlineStr">
        <is>
          <t>https://guiarsanrafael.com.ar/empresa/orlando-alberto-franks/</t>
        </is>
      </c>
    </row>
    <row r="1346">
      <c r="A1346" s="19" t="n">
        <v>1345</v>
      </c>
      <c r="B1346" s="20" t="inlineStr">
        <is>
          <t>ORNELLA MORGANTI</t>
        </is>
      </c>
      <c r="C1346" s="14" t="inlineStr">
        <is>
          <t>Odontologia</t>
        </is>
      </c>
      <c r="D1346" s="14" t="inlineStr">
        <is>
          <t>Odontologia</t>
        </is>
      </c>
      <c r="E1346" s="19" t="n">
        <v>101</v>
      </c>
      <c r="F1346" s="19" t="n">
        <v>7446</v>
      </c>
      <c r="G1346" s="21" t="inlineStr">
        <is>
          <t>https://guiarsanrafael.com.ar/empresa/ornella-morganti/</t>
        </is>
      </c>
    </row>
    <row r="1347">
      <c r="A1347" s="22" t="n">
        <v>1346</v>
      </c>
      <c r="B1347" s="23" t="inlineStr">
        <is>
          <t>OROZCO AMICARELLI Francisco</t>
        </is>
      </c>
      <c r="C1347" s="12" t="inlineStr">
        <is>
          <t>Escribanias escribanos escribanas mandatario mandataria notarios notarias</t>
        </is>
      </c>
      <c r="D1347" s="12" t="inlineStr">
        <is>
          <t>Escribanias</t>
        </is>
      </c>
      <c r="E1347" s="22" t="n">
        <v>81</v>
      </c>
      <c r="F1347" s="22" t="n">
        <v>8207</v>
      </c>
      <c r="G1347" s="24" t="inlineStr">
        <is>
          <t>https://guiarsanrafael.com.ar/empresa/orozco-amicarelli-francisco/</t>
        </is>
      </c>
    </row>
    <row r="1348">
      <c r="A1348" s="19" t="n">
        <v>1347</v>
      </c>
      <c r="B1348" s="20" t="inlineStr">
        <is>
          <t>Orozco Cecilia Andrea</t>
        </is>
      </c>
      <c r="C1348" s="14" t="inlineStr">
        <is>
          <t>Abogados abogadas estudios juridicos</t>
        </is>
      </c>
      <c r="D1348" s="14" t="inlineStr">
        <is>
          <t>Abogadas</t>
        </is>
      </c>
      <c r="E1348" s="19" t="n">
        <v>115</v>
      </c>
      <c r="F1348" s="19" t="n">
        <v>7167</v>
      </c>
      <c r="G1348" s="21" t="inlineStr">
        <is>
          <t>https://guiarsanrafael.com.ar/empresa/orozco-cecilia-andrea/</t>
        </is>
      </c>
    </row>
    <row r="1349">
      <c r="A1349" s="22" t="n">
        <v>1348</v>
      </c>
      <c r="B1349" s="23" t="inlineStr">
        <is>
          <t>Ortiz Prieto Andrea Bernabella</t>
        </is>
      </c>
      <c r="C1349" s="12" t="inlineStr">
        <is>
          <t>Abogados abogadas estudios juridicos</t>
        </is>
      </c>
      <c r="D1349" s="12" t="inlineStr">
        <is>
          <t>Abogadas</t>
        </is>
      </c>
      <c r="E1349" s="22" t="n">
        <v>111</v>
      </c>
      <c r="F1349" s="22" t="n">
        <v>7215</v>
      </c>
      <c r="G1349" s="24" t="inlineStr">
        <is>
          <t>https://guiarsanrafael.com.ar/empresa/ortiz-prieto-andrea-bernabella/</t>
        </is>
      </c>
    </row>
    <row r="1350">
      <c r="A1350" s="19" t="n">
        <v>1349</v>
      </c>
      <c r="B1350" s="20" t="inlineStr">
        <is>
          <t>ORTOPEDIA CESAK</t>
        </is>
      </c>
      <c r="C1350" s="14" t="inlineStr">
        <is>
          <t>Ortopedias</t>
        </is>
      </c>
      <c r="D1350" s="14" t="inlineStr">
        <is>
          <t>Ortopedias</t>
        </is>
      </c>
      <c r="E1350" s="19" t="n">
        <v>26</v>
      </c>
      <c r="F1350" s="19" t="n">
        <v>11575</v>
      </c>
      <c r="G1350" s="21" t="inlineStr">
        <is>
          <t>https://guiarsanrafael.com.ar/empresa/ortopedia-cesak/</t>
        </is>
      </c>
    </row>
    <row r="1351">
      <c r="A1351" s="22" t="n">
        <v>1350</v>
      </c>
      <c r="B1351" s="23" t="inlineStr">
        <is>
          <t>ORTOPEDIA PROSAR</t>
        </is>
      </c>
      <c r="C1351" s="12" t="inlineStr">
        <is>
          <t>Ortopedias</t>
        </is>
      </c>
      <c r="D1351" s="12" t="inlineStr">
        <is>
          <t>Ortopedias</t>
        </is>
      </c>
      <c r="E1351" s="22" t="n">
        <v>60</v>
      </c>
      <c r="F1351" s="22" t="n">
        <v>8827</v>
      </c>
      <c r="G1351" s="24" t="inlineStr">
        <is>
          <t>https://guiarsanrafael.com.ar/empresa/ortopedia-prosar/</t>
        </is>
      </c>
    </row>
    <row r="1352">
      <c r="A1352" s="19" t="n">
        <v>1351</v>
      </c>
      <c r="B1352" s="20" t="inlineStr">
        <is>
          <t>Ortopedia Tavanti</t>
        </is>
      </c>
      <c r="C1352" s="14" t="inlineStr">
        <is>
          <t>Ortopedias</t>
        </is>
      </c>
      <c r="D1352" s="14" t="inlineStr">
        <is>
          <t>(sin ubicación)</t>
        </is>
      </c>
      <c r="E1352" s="19" t="n">
        <v>60</v>
      </c>
      <c r="F1352" s="19" t="n">
        <v>8826</v>
      </c>
      <c r="G1352" s="21" t="inlineStr">
        <is>
          <t>https://guiarsanrafael.com.ar/empresa/ortopedia-tavanti/</t>
        </is>
      </c>
    </row>
    <row r="1353">
      <c r="A1353" s="22" t="n">
        <v>1352</v>
      </c>
      <c r="B1353" s="23" t="inlineStr">
        <is>
          <t>ORUJO Tienda de Bebidas</t>
        </is>
      </c>
      <c r="C1353" s="12" t="inlineStr">
        <is>
          <t>Dieteticas productos naturales</t>
        </is>
      </c>
      <c r="D1353" s="12" t="inlineStr">
        <is>
          <t>Dieteticas</t>
        </is>
      </c>
      <c r="E1353" s="22" t="n">
        <v>50</v>
      </c>
      <c r="F1353" s="22" t="n">
        <v>9308</v>
      </c>
      <c r="G1353" s="24" t="inlineStr">
        <is>
          <t>https://guiarsanrafael.com.ar/empresa/orujo/</t>
        </is>
      </c>
    </row>
    <row r="1354">
      <c r="A1354" s="19" t="n">
        <v>1353</v>
      </c>
      <c r="B1354" s="20" t="inlineStr">
        <is>
          <t>Pablo Carayol</t>
        </is>
      </c>
      <c r="C1354" s="14" t="inlineStr">
        <is>
          <t>Traumatologia y ortopedia</t>
        </is>
      </c>
      <c r="D1354" s="14" t="inlineStr">
        <is>
          <t>Traumatologia</t>
        </is>
      </c>
      <c r="E1354" s="19" t="n">
        <v>142</v>
      </c>
      <c r="F1354" s="19" t="n">
        <v>5535</v>
      </c>
      <c r="G1354" s="21" t="inlineStr">
        <is>
          <t>https://guiarsanrafael.com.ar/empresa/pablo-carayol/</t>
        </is>
      </c>
    </row>
    <row r="1355">
      <c r="A1355" s="22" t="n">
        <v>1354</v>
      </c>
      <c r="B1355" s="23" t="inlineStr">
        <is>
          <t>PABLO CITÓN</t>
        </is>
      </c>
      <c r="C1355" s="12" t="inlineStr">
        <is>
          <t>Neumonologia</t>
        </is>
      </c>
      <c r="D1355" s="12" t="inlineStr">
        <is>
          <t>Neumonologia</t>
        </is>
      </c>
      <c r="E1355" s="22" t="n">
        <v>146</v>
      </c>
      <c r="F1355" s="22" t="n">
        <v>5473</v>
      </c>
      <c r="G1355" s="24" t="inlineStr">
        <is>
          <t>https://guiarsanrafael.com.ar/empresa/pablo-citon/</t>
        </is>
      </c>
    </row>
    <row r="1356">
      <c r="A1356" s="19" t="n">
        <v>1355</v>
      </c>
      <c r="B1356" s="20" t="inlineStr">
        <is>
          <t>PABLO FERNANDEZ</t>
        </is>
      </c>
      <c r="C1356" s="14" t="inlineStr">
        <is>
          <t>Implantes</t>
        </is>
      </c>
      <c r="D1356" s="14" t="inlineStr">
        <is>
          <t>Implantes</t>
        </is>
      </c>
      <c r="E1356" s="19" t="n">
        <v>13</v>
      </c>
      <c r="F1356" s="19" t="n">
        <v>13078</v>
      </c>
      <c r="G1356" s="21" t="inlineStr">
        <is>
          <t>https://guiarsanrafael.com.ar/empresa/pablo-ferandez/</t>
        </is>
      </c>
    </row>
    <row r="1357">
      <c r="A1357" s="22" t="n">
        <v>1356</v>
      </c>
      <c r="B1357" s="23" t="inlineStr">
        <is>
          <t>Pablo Gómez</t>
        </is>
      </c>
      <c r="C1357" s="12" t="inlineStr">
        <is>
          <t>Oftalmologia oftalmologos</t>
        </is>
      </c>
      <c r="D1357" s="12" t="inlineStr">
        <is>
          <t>Oftalmologia</t>
        </is>
      </c>
      <c r="E1357" s="22" t="n">
        <v>148</v>
      </c>
      <c r="F1357" s="22" t="n">
        <v>5446</v>
      </c>
      <c r="G1357" s="24" t="inlineStr">
        <is>
          <t>https://guiarsanrafael.com.ar/empresa/pablo-gomez/</t>
        </is>
      </c>
    </row>
    <row r="1358">
      <c r="A1358" s="19" t="n">
        <v>1357</v>
      </c>
      <c r="B1358" s="20" t="inlineStr">
        <is>
          <t>Pablo Hernández</t>
        </is>
      </c>
      <c r="C1358" s="14" t="inlineStr">
        <is>
          <t>Pediatria neonatologia</t>
        </is>
      </c>
      <c r="D1358" s="14" t="inlineStr">
        <is>
          <t>Pediatria y neonatologia</t>
        </is>
      </c>
      <c r="E1358" s="19" t="n">
        <v>146</v>
      </c>
      <c r="F1358" s="19" t="n">
        <v>5477</v>
      </c>
      <c r="G1358" s="21" t="inlineStr">
        <is>
          <t>https://guiarsanrafael.com.ar/empresa/pablo-hernandez/</t>
        </is>
      </c>
    </row>
    <row r="1359">
      <c r="A1359" s="22" t="n">
        <v>1358</v>
      </c>
      <c r="B1359" s="23" t="inlineStr">
        <is>
          <t>PABLO MAHIA</t>
        </is>
      </c>
      <c r="C1359" s="12" t="inlineStr">
        <is>
          <t>Oftalmologia oftalmologos</t>
        </is>
      </c>
      <c r="D1359" s="12" t="inlineStr">
        <is>
          <t>Oftalmologia</t>
        </is>
      </c>
      <c r="E1359" s="22" t="n">
        <v>134</v>
      </c>
      <c r="F1359" s="22" t="n">
        <v>6042</v>
      </c>
      <c r="G1359" s="24" t="inlineStr">
        <is>
          <t>https://guiarsanrafael.com.ar/empresa/pablo-mahia/</t>
        </is>
      </c>
    </row>
    <row r="1360">
      <c r="A1360" s="19" t="n">
        <v>1359</v>
      </c>
      <c r="B1360" s="20" t="inlineStr">
        <is>
          <t>PABLO MARTOS</t>
        </is>
      </c>
      <c r="C1360" s="14" t="inlineStr">
        <is>
          <t>Clinica medica</t>
        </is>
      </c>
      <c r="D1360" s="14" t="inlineStr">
        <is>
          <t>Clinica medica</t>
        </is>
      </c>
      <c r="E1360" s="19" t="n">
        <v>57</v>
      </c>
      <c r="F1360" s="19" t="n">
        <v>9073</v>
      </c>
      <c r="G1360" s="21" t="inlineStr">
        <is>
          <t>https://guiarsanrafael.com.ar/empresa/pablo-martos/</t>
        </is>
      </c>
    </row>
    <row r="1361">
      <c r="A1361" s="22" t="n">
        <v>1360</v>
      </c>
      <c r="B1361" s="23" t="inlineStr">
        <is>
          <t>PABLO SOSA</t>
        </is>
      </c>
      <c r="C1361" s="12" t="inlineStr">
        <is>
          <t>Neurocirugia neurocirujano infantil</t>
        </is>
      </c>
      <c r="D1361" s="12" t="inlineStr">
        <is>
          <t>Neurocirugia</t>
        </is>
      </c>
      <c r="E1361" s="22" t="n">
        <v>150</v>
      </c>
      <c r="F1361" s="22" t="n">
        <v>5418</v>
      </c>
      <c r="G1361" s="24" t="inlineStr">
        <is>
          <t>https://guiarsanrafael.com.ar/empresa/pablo-sosa/</t>
        </is>
      </c>
    </row>
    <row r="1362">
      <c r="A1362" s="19" t="n">
        <v>1361</v>
      </c>
      <c r="B1362" s="20" t="inlineStr">
        <is>
          <t>Pachamama Almacen Natural</t>
        </is>
      </c>
      <c r="C1362" s="14" t="inlineStr">
        <is>
          <t>Almacen natural</t>
        </is>
      </c>
      <c r="D1362" s="14" t="inlineStr">
        <is>
          <t>Almacen natural</t>
        </is>
      </c>
      <c r="E1362" s="19" t="n">
        <v>54</v>
      </c>
      <c r="F1362" s="19" t="n">
        <v>9223</v>
      </c>
      <c r="G1362" s="21" t="inlineStr">
        <is>
          <t>https://guiarsanrafael.com.ar/empresa/pachamama-almacen-natural/</t>
        </is>
      </c>
    </row>
    <row r="1363">
      <c r="A1363" s="22" t="n">
        <v>1362</v>
      </c>
      <c r="B1363" s="23" t="inlineStr">
        <is>
          <t>PACHAMAMA Roca</t>
        </is>
      </c>
      <c r="C1363" s="12" t="inlineStr">
        <is>
          <t>Almacen natural</t>
        </is>
      </c>
      <c r="D1363" s="12" t="inlineStr">
        <is>
          <t>Almacen natural</t>
        </is>
      </c>
      <c r="E1363" s="22" t="n">
        <v>2</v>
      </c>
      <c r="F1363" s="22" t="n">
        <v>15055</v>
      </c>
      <c r="G1363" s="24" t="inlineStr">
        <is>
          <t>https://guiarsanrafael.com.ar/empresa/pacha-mama-roca/</t>
        </is>
      </c>
    </row>
    <row r="1364">
      <c r="A1364" s="19" t="n">
        <v>1363</v>
      </c>
      <c r="B1364" s="20" t="inlineStr">
        <is>
          <t>PACHU Auxilio Mecánico</t>
        </is>
      </c>
      <c r="C1364" s="14" t="inlineStr">
        <is>
          <t>Auxilio mecanico gruas</t>
        </is>
      </c>
      <c r="D1364" s="14" t="inlineStr">
        <is>
          <t>Auxilio mecanico</t>
        </is>
      </c>
      <c r="E1364" s="19" t="n">
        <v>69</v>
      </c>
      <c r="F1364" s="19" t="n">
        <v>8487</v>
      </c>
      <c r="G1364" s="21" t="inlineStr">
        <is>
          <t>https://guiarsanrafael.com.ar/empresa/pachu-auxilio-mecanico/</t>
        </is>
      </c>
    </row>
    <row r="1365">
      <c r="A1365" s="22" t="n">
        <v>1364</v>
      </c>
      <c r="B1365" s="23" t="inlineStr">
        <is>
          <t>PADILLA PALLERES Florencia Antonella</t>
        </is>
      </c>
      <c r="C1365" s="12" t="inlineStr">
        <is>
          <t>Escribanias escribanos escribanas mandatario mandataria notarios notarias</t>
        </is>
      </c>
      <c r="D1365" s="12" t="inlineStr">
        <is>
          <t>Escribanas</t>
        </is>
      </c>
      <c r="E1365" s="22" t="n">
        <v>81</v>
      </c>
      <c r="F1365" s="22" t="n">
        <v>8208</v>
      </c>
      <c r="G1365" s="24" t="inlineStr">
        <is>
          <t>https://guiarsanrafael.com.ar/empresa/padilla-palleres-florencia-antonella/</t>
        </is>
      </c>
    </row>
    <row r="1366">
      <c r="A1366" s="19" t="n">
        <v>1365</v>
      </c>
      <c r="B1366" s="20" t="inlineStr">
        <is>
          <t>PAIVA GRERMAN</t>
        </is>
      </c>
      <c r="C1366" s="14" t="inlineStr">
        <is>
          <t>Estudios tecnicos arquitectura ingieneria</t>
        </is>
      </c>
      <c r="D1366" s="14" t="inlineStr">
        <is>
          <t>Estudios tecnicos</t>
        </is>
      </c>
      <c r="E1366" s="19" t="n">
        <v>98</v>
      </c>
      <c r="F1366" s="19" t="n">
        <v>7486</v>
      </c>
      <c r="G1366" s="21" t="inlineStr">
        <is>
          <t>https://guiarsanrafael.com.ar/empresa/paiva-grerman/</t>
        </is>
      </c>
    </row>
    <row r="1367">
      <c r="A1367" s="22" t="n">
        <v>1366</v>
      </c>
      <c r="B1367" s="23" t="inlineStr">
        <is>
          <t>PAMELA ROMINA FERNADEZ</t>
        </is>
      </c>
      <c r="C1367" s="12" t="inlineStr">
        <is>
          <t>Neurologia infantil pediatria</t>
        </is>
      </c>
      <c r="D1367" s="12" t="inlineStr">
        <is>
          <t>Neurologia infantil</t>
        </is>
      </c>
      <c r="E1367" s="22" t="n">
        <v>124</v>
      </c>
      <c r="F1367" s="22" t="n">
        <v>6771</v>
      </c>
      <c r="G1367" s="24" t="inlineStr">
        <is>
          <t>https://guiarsanrafael.com.ar/empresa/pamela-romina-fernadez/</t>
        </is>
      </c>
    </row>
    <row r="1368">
      <c r="A1368" s="19" t="n">
        <v>1367</v>
      </c>
      <c r="B1368" s="20" t="inlineStr">
        <is>
          <t>PAMELA SALINAS</t>
        </is>
      </c>
      <c r="C1368" s="14" t="inlineStr">
        <is>
          <t>Ginecologia y obsterticia</t>
        </is>
      </c>
      <c r="D1368" s="14" t="inlineStr">
        <is>
          <t>Ginecologia y obsterticia</t>
        </is>
      </c>
      <c r="E1368" s="19" t="n">
        <v>122</v>
      </c>
      <c r="F1368" s="19" t="n">
        <v>6896</v>
      </c>
      <c r="G1368" s="21" t="inlineStr">
        <is>
          <t>https://guiarsanrafael.com.ar/empresa/pamela-salinas/</t>
        </is>
      </c>
    </row>
    <row r="1369">
      <c r="A1369" s="22" t="n">
        <v>1368</v>
      </c>
      <c r="B1369" s="23" t="inlineStr">
        <is>
          <t>PAMPERO San Rafael</t>
        </is>
      </c>
      <c r="C1369" s="12" t="inlineStr">
        <is>
          <t>Indumentaria</t>
        </is>
      </c>
      <c r="D1369" s="12" t="inlineStr">
        <is>
          <t>Indumentaria</t>
        </is>
      </c>
      <c r="E1369" s="22" t="n">
        <v>14</v>
      </c>
      <c r="F1369" s="22" t="n">
        <v>12899</v>
      </c>
      <c r="G1369" s="24" t="inlineStr">
        <is>
          <t>https://guiarsanrafael.com.ar/empresa/pampero-san-rafael/</t>
        </is>
      </c>
    </row>
    <row r="1370">
      <c r="A1370" s="19" t="n">
        <v>1369</v>
      </c>
      <c r="B1370" s="20" t="inlineStr">
        <is>
          <t>Pan y Manteca</t>
        </is>
      </c>
      <c r="C1370" s="14" t="inlineStr">
        <is>
          <t>Panaderias</t>
        </is>
      </c>
      <c r="D1370" s="14" t="inlineStr">
        <is>
          <t>Panaderia</t>
        </is>
      </c>
      <c r="E1370" s="19" t="n">
        <v>64</v>
      </c>
      <c r="F1370" s="19" t="n">
        <v>8654</v>
      </c>
      <c r="G1370" s="21" t="inlineStr">
        <is>
          <t>https://guiarsanrafael.com.ar/empresa/pan-y-manteca/</t>
        </is>
      </c>
    </row>
    <row r="1371">
      <c r="A1371" s="22" t="n">
        <v>1370</v>
      </c>
      <c r="B1371" s="23" t="inlineStr">
        <is>
          <t>PANADERIA LA IDEAL</t>
        </is>
      </c>
      <c r="C1371" s="12" t="inlineStr">
        <is>
          <t>Confiterias reposteria</t>
        </is>
      </c>
      <c r="D1371" s="12" t="inlineStr">
        <is>
          <t>Confiteria</t>
        </is>
      </c>
      <c r="E1371" s="22" t="n">
        <v>5</v>
      </c>
      <c r="F1371" s="22" t="n">
        <v>14505</v>
      </c>
      <c r="G1371" s="24" t="inlineStr">
        <is>
          <t>https://guiarsanrafael.com.ar/empresa/panaderia-la-ideal/</t>
        </is>
      </c>
    </row>
    <row r="1372">
      <c r="A1372" s="19" t="n">
        <v>1371</v>
      </c>
      <c r="B1372" s="20" t="inlineStr">
        <is>
          <t>Panadería Crikas</t>
        </is>
      </c>
      <c r="C1372" s="14" t="inlineStr">
        <is>
          <t>Confiterias reposteria</t>
        </is>
      </c>
      <c r="D1372" s="14" t="inlineStr">
        <is>
          <t>Panaderia</t>
        </is>
      </c>
      <c r="E1372" s="19" t="n">
        <v>65</v>
      </c>
      <c r="F1372" s="19" t="n">
        <v>8643</v>
      </c>
      <c r="G1372" s="21" t="inlineStr">
        <is>
          <t>https://guiarsanrafael.com.ar/empresa/panaderia-crikas/</t>
        </is>
      </c>
    </row>
    <row r="1373">
      <c r="A1373" s="22" t="n">
        <v>1372</v>
      </c>
      <c r="B1373" s="23" t="inlineStr">
        <is>
          <t>Panadería El Fortín</t>
        </is>
      </c>
      <c r="C1373" s="12" t="inlineStr">
        <is>
          <t>Confiterias reposteria</t>
        </is>
      </c>
      <c r="D1373" s="12" t="inlineStr">
        <is>
          <t>Panaderia</t>
        </is>
      </c>
      <c r="E1373" s="22" t="n">
        <v>64</v>
      </c>
      <c r="F1373" s="22" t="n">
        <v>8656</v>
      </c>
      <c r="G1373" s="24" t="inlineStr">
        <is>
          <t>https://guiarsanrafael.com.ar/empresa/panaderia-el-fortin/</t>
        </is>
      </c>
    </row>
    <row r="1374">
      <c r="A1374" s="19" t="n">
        <v>1373</v>
      </c>
      <c r="B1374" s="20" t="inlineStr">
        <is>
          <t>Panadería El Nihuil</t>
        </is>
      </c>
      <c r="C1374" s="14" t="inlineStr">
        <is>
          <t>Panaderias</t>
        </is>
      </c>
      <c r="D1374" s="14" t="inlineStr">
        <is>
          <t>Panaderia</t>
        </is>
      </c>
      <c r="E1374" s="19" t="n">
        <v>64</v>
      </c>
      <c r="F1374" s="19" t="n">
        <v>8657</v>
      </c>
      <c r="G1374" s="21" t="inlineStr">
        <is>
          <t>https://guiarsanrafael.com.ar/empresa/panaderia-el-nihuil/</t>
        </is>
      </c>
    </row>
    <row r="1375">
      <c r="A1375" s="22" t="n">
        <v>1374</v>
      </c>
      <c r="B1375" s="23" t="inlineStr">
        <is>
          <t>Panadería Jireh</t>
        </is>
      </c>
      <c r="C1375" s="12" t="inlineStr">
        <is>
          <t>Panaderias</t>
        </is>
      </c>
      <c r="D1375" s="12" t="inlineStr">
        <is>
          <t>Panaderia</t>
        </is>
      </c>
      <c r="E1375" s="22" t="n">
        <v>63</v>
      </c>
      <c r="F1375" s="22" t="n">
        <v>8672</v>
      </c>
      <c r="G1375" s="24" t="inlineStr">
        <is>
          <t>https://guiarsanrafael.com.ar/empresa/panaderia-jireh/</t>
        </is>
      </c>
    </row>
    <row r="1376">
      <c r="A1376" s="19" t="n">
        <v>1375</v>
      </c>
      <c r="B1376" s="20" t="inlineStr">
        <is>
          <t>Panadería La Unión</t>
        </is>
      </c>
      <c r="C1376" s="14" t="inlineStr">
        <is>
          <t>Panaderias</t>
        </is>
      </c>
      <c r="D1376" s="14" t="inlineStr">
        <is>
          <t>Confiteria</t>
        </is>
      </c>
      <c r="E1376" s="19" t="n">
        <v>64</v>
      </c>
      <c r="F1376" s="19" t="n">
        <v>8651</v>
      </c>
      <c r="G1376" s="21" t="inlineStr">
        <is>
          <t>https://guiarsanrafael.com.ar/empresa/panaderia-la-union/</t>
        </is>
      </c>
    </row>
    <row r="1377">
      <c r="A1377" s="22" t="n">
        <v>1376</v>
      </c>
      <c r="B1377" s="23" t="inlineStr">
        <is>
          <t>PANADERÍA MANÁ</t>
        </is>
      </c>
      <c r="C1377" s="12" t="inlineStr">
        <is>
          <t>Confiterias reposteria</t>
        </is>
      </c>
      <c r="D1377" s="12" t="inlineStr">
        <is>
          <t>Almacen</t>
        </is>
      </c>
      <c r="E1377" s="22" t="n">
        <v>34</v>
      </c>
      <c r="F1377" s="22" t="n">
        <v>10491</v>
      </c>
      <c r="G1377" s="24" t="inlineStr">
        <is>
          <t>https://guiarsanrafael.com.ar/empresa/panaderia-mana/</t>
        </is>
      </c>
    </row>
    <row r="1378">
      <c r="A1378" s="19" t="n">
        <v>1377</v>
      </c>
      <c r="B1378" s="20" t="inlineStr">
        <is>
          <t>Panebianco Javier</t>
        </is>
      </c>
      <c r="C1378" s="14" t="inlineStr">
        <is>
          <t>Abogados abogadas estudios juridicos</t>
        </is>
      </c>
      <c r="D1378" s="14" t="inlineStr">
        <is>
          <t>Abogados</t>
        </is>
      </c>
      <c r="E1378" s="19" t="n">
        <v>118</v>
      </c>
      <c r="F1378" s="19" t="n">
        <v>7123</v>
      </c>
      <c r="G1378" s="21" t="inlineStr">
        <is>
          <t>https://guiarsanrafael.com.ar/empresa/panebianco-javier/</t>
        </is>
      </c>
    </row>
    <row r="1379">
      <c r="A1379" s="22" t="n">
        <v>1378</v>
      </c>
      <c r="B1379" s="23" t="inlineStr">
        <is>
          <t>Panificadora El Granadino</t>
        </is>
      </c>
      <c r="C1379" s="12" t="inlineStr">
        <is>
          <t>Confiterias reposteria</t>
        </is>
      </c>
      <c r="D1379" s="12" t="inlineStr">
        <is>
          <t>Confiteria</t>
        </is>
      </c>
      <c r="E1379" s="22" t="n">
        <v>64</v>
      </c>
      <c r="F1379" s="22" t="n">
        <v>8650</v>
      </c>
      <c r="G1379" s="24" t="inlineStr">
        <is>
          <t>https://guiarsanrafael.com.ar/empresa/panificadora-el-granadino-260-482-0480/</t>
        </is>
      </c>
    </row>
    <row r="1380">
      <c r="A1380" s="19" t="n">
        <v>1379</v>
      </c>
      <c r="B1380" s="20" t="inlineStr">
        <is>
          <t>Paola Calle</t>
        </is>
      </c>
      <c r="C1380" s="14" t="inlineStr">
        <is>
          <t>Pediatria neonatologia</t>
        </is>
      </c>
      <c r="D1380" s="14" t="inlineStr">
        <is>
          <t>Pediatria y neonatologia</t>
        </is>
      </c>
      <c r="E1380" s="19" t="n">
        <v>147</v>
      </c>
      <c r="F1380" s="19" t="n">
        <v>5464</v>
      </c>
      <c r="G1380" s="21" t="inlineStr">
        <is>
          <t>https://guiarsanrafael.com.ar/empresa/paola-calle/</t>
        </is>
      </c>
    </row>
    <row r="1381">
      <c r="A1381" s="22" t="n">
        <v>1380</v>
      </c>
      <c r="B1381" s="23" t="inlineStr">
        <is>
          <t>Paola Valentina Valdivieso</t>
        </is>
      </c>
      <c r="C1381" s="12" t="inlineStr">
        <is>
          <t>Clinica del lenguaje</t>
        </is>
      </c>
      <c r="D1381" s="12" t="inlineStr">
        <is>
          <t>Clinica del lenguaje</t>
        </is>
      </c>
      <c r="E1381" s="22" t="n">
        <v>156</v>
      </c>
      <c r="F1381" s="22" t="n">
        <v>5327</v>
      </c>
      <c r="G1381" s="24" t="inlineStr">
        <is>
          <t>https://guiarsanrafael.com.ar/empresa/paola-valentina-valdivieso/</t>
        </is>
      </c>
    </row>
    <row r="1382">
      <c r="A1382" s="19" t="n">
        <v>1381</v>
      </c>
      <c r="B1382" s="20" t="inlineStr">
        <is>
          <t>Parabrisas Multichapa</t>
        </is>
      </c>
      <c r="C1382" s="14" t="inlineStr">
        <is>
          <t>Autopartes</t>
        </is>
      </c>
      <c r="D1382" s="14" t="inlineStr">
        <is>
          <t>Autopartes</t>
        </is>
      </c>
      <c r="E1382" s="19" t="n">
        <v>73</v>
      </c>
      <c r="F1382" s="19" t="n">
        <v>8440</v>
      </c>
      <c r="G1382" s="21" t="inlineStr">
        <is>
          <t>https://guiarsanrafael.com.ar/empresa/parabrisas-multichapa/</t>
        </is>
      </c>
    </row>
    <row r="1383">
      <c r="A1383" s="22" t="n">
        <v>1382</v>
      </c>
      <c r="B1383" s="23" t="inlineStr">
        <is>
          <t>Pardi Manuel</t>
        </is>
      </c>
      <c r="C1383" s="12" t="inlineStr">
        <is>
          <t>Abogados abogadas estudios juridicos</t>
        </is>
      </c>
      <c r="D1383" s="12" t="inlineStr">
        <is>
          <t>Abogados</t>
        </is>
      </c>
      <c r="E1383" s="22" t="n">
        <v>115</v>
      </c>
      <c r="F1383" s="22" t="n">
        <v>7169</v>
      </c>
      <c r="G1383" s="24" t="inlineStr">
        <is>
          <t>https://guiarsanrafael.com.ar/empresa/pardi-manuel/</t>
        </is>
      </c>
    </row>
    <row r="1384">
      <c r="A1384" s="19" t="n">
        <v>1383</v>
      </c>
      <c r="B1384" s="20" t="inlineStr">
        <is>
          <t>Paseo de los Lagos</t>
        </is>
      </c>
      <c r="C1384" s="14" t="inlineStr">
        <is>
          <t>Artesanias</t>
        </is>
      </c>
      <c r="D1384" s="14" t="inlineStr">
        <is>
          <t>Artesanias</t>
        </is>
      </c>
      <c r="E1384" s="19" t="n">
        <v>53</v>
      </c>
      <c r="F1384" s="19" t="n">
        <v>9272</v>
      </c>
      <c r="G1384" s="21" t="inlineStr">
        <is>
          <t>https://guiarsanrafael.com.ar/empresa/paseo-de-los-lagos/</t>
        </is>
      </c>
    </row>
    <row r="1385">
      <c r="A1385" s="22" t="n">
        <v>1384</v>
      </c>
      <c r="B1385" s="23" t="inlineStr">
        <is>
          <t>PASEO DEL PARQUE Panadería</t>
        </is>
      </c>
      <c r="C1385" s="12" t="inlineStr">
        <is>
          <t>Confiterias reposteria</t>
        </is>
      </c>
      <c r="D1385" s="12" t="inlineStr">
        <is>
          <t>Confiteria</t>
        </is>
      </c>
      <c r="E1385" s="22" t="n">
        <v>95</v>
      </c>
      <c r="F1385" s="22" t="n">
        <v>7724</v>
      </c>
      <c r="G1385" s="24" t="inlineStr">
        <is>
          <t>https://guiarsanrafael.com.ar/empresa/paseo-del-parque-panaderia/</t>
        </is>
      </c>
    </row>
    <row r="1386">
      <c r="A1386" s="19" t="n">
        <v>1385</v>
      </c>
      <c r="B1386" s="20" t="inlineStr">
        <is>
          <t>Paseo Regional – San Rafael</t>
        </is>
      </c>
      <c r="C1386" s="14" t="inlineStr">
        <is>
          <t>Artesanias</t>
        </is>
      </c>
      <c r="D1386" s="14" t="inlineStr">
        <is>
          <t>Artesanias</t>
        </is>
      </c>
      <c r="E1386" s="19" t="n">
        <v>53</v>
      </c>
      <c r="F1386" s="19" t="n">
        <v>9271</v>
      </c>
      <c r="G1386" s="21" t="inlineStr">
        <is>
          <t>https://guiarsanrafael.com.ar/empresa/paseo-regional-san-rafael/</t>
        </is>
      </c>
    </row>
    <row r="1387">
      <c r="A1387" s="22" t="n">
        <v>1386</v>
      </c>
      <c r="B1387" s="23" t="inlineStr">
        <is>
          <t>PASTAS DON NICOLA</t>
        </is>
      </c>
      <c r="C1387" s="12" t="inlineStr">
        <is>
          <t>Fabrica de pastas</t>
        </is>
      </c>
      <c r="D1387" s="12" t="inlineStr">
        <is>
          <t>Fabrica de pastas</t>
        </is>
      </c>
      <c r="E1387" s="22" t="n">
        <v>138</v>
      </c>
      <c r="F1387" s="22" t="n">
        <v>5812</v>
      </c>
      <c r="G1387" s="24" t="inlineStr">
        <is>
          <t>https://guiarsanrafael.com.ar/empresa/pastas-don-nicola/</t>
        </is>
      </c>
    </row>
    <row r="1388">
      <c r="A1388" s="19" t="n">
        <v>1387</v>
      </c>
      <c r="B1388" s="20" t="inlineStr">
        <is>
          <t>PASTAS MARISOL</t>
        </is>
      </c>
      <c r="C1388" s="14" t="inlineStr">
        <is>
          <t>Fabrica de pastas</t>
        </is>
      </c>
      <c r="D1388" s="14" t="inlineStr">
        <is>
          <t>Fabrica de pastas</t>
        </is>
      </c>
      <c r="E1388" s="19" t="n">
        <v>33</v>
      </c>
      <c r="F1388" s="19" t="n">
        <v>10671</v>
      </c>
      <c r="G1388" s="21" t="inlineStr">
        <is>
          <t>https://guiarsanrafael.com.ar/empresa/pastas-marisol/</t>
        </is>
      </c>
    </row>
    <row r="1389">
      <c r="A1389" s="22" t="n">
        <v>1388</v>
      </c>
      <c r="B1389" s="23" t="inlineStr">
        <is>
          <t>PASTAS MENDEZ</t>
        </is>
      </c>
      <c r="C1389" s="12" t="inlineStr">
        <is>
          <t>Casa de comidas rotiseria viandas</t>
        </is>
      </c>
      <c r="D1389" s="12" t="inlineStr">
        <is>
          <t>Casa de comidas</t>
        </is>
      </c>
      <c r="E1389" s="22" t="n">
        <v>95</v>
      </c>
      <c r="F1389" s="22" t="n">
        <v>7687</v>
      </c>
      <c r="G1389" s="24" t="inlineStr">
        <is>
          <t>https://guiarsanrafael.com.ar/empresa/pastas-mendez/</t>
        </is>
      </c>
    </row>
    <row r="1390">
      <c r="A1390" s="19" t="n">
        <v>1389</v>
      </c>
      <c r="B1390" s="20" t="inlineStr">
        <is>
          <t>PASTELLA Pastelería &amp; Cafetería</t>
        </is>
      </c>
      <c r="C1390" s="14" t="inlineStr">
        <is>
          <t>Cafeterias cafe desayunos</t>
        </is>
      </c>
      <c r="D1390" s="14" t="inlineStr">
        <is>
          <t>Cafeterias</t>
        </is>
      </c>
      <c r="E1390" s="19" t="n">
        <v>131</v>
      </c>
      <c r="F1390" s="19" t="n">
        <v>6317</v>
      </c>
      <c r="G1390" s="21" t="inlineStr">
        <is>
          <t>https://guiarsanrafael.com.ar/empresa/pastella-pasteleria-cafeteria/</t>
        </is>
      </c>
    </row>
    <row r="1391">
      <c r="A1391" s="22" t="n">
        <v>1390</v>
      </c>
      <c r="B1391" s="23" t="inlineStr">
        <is>
          <t>Patios del Mediterraneo</t>
        </is>
      </c>
      <c r="C1391" s="12" t="inlineStr">
        <is>
          <t>Apar thotel</t>
        </is>
      </c>
      <c r="D1391" s="12" t="inlineStr">
        <is>
          <t>Alojamientos</t>
        </is>
      </c>
      <c r="E1391" s="22" t="n">
        <v>92</v>
      </c>
      <c r="F1391" s="22" t="n">
        <v>7843</v>
      </c>
      <c r="G1391" s="24" t="inlineStr">
        <is>
          <t>https://guiarsanrafael.com.ar/empresa/patios-del-mediterraneo/</t>
        </is>
      </c>
    </row>
    <row r="1392">
      <c r="A1392" s="19" t="n">
        <v>1391</v>
      </c>
      <c r="B1392" s="20" t="inlineStr">
        <is>
          <t>Patios del Mediterráneo</t>
        </is>
      </c>
      <c r="C1392" s="14" t="inlineStr">
        <is>
          <t>Alojamiento cabanas camping</t>
        </is>
      </c>
      <c r="D1392" s="14" t="inlineStr">
        <is>
          <t>Alojamientos</t>
        </is>
      </c>
      <c r="E1392" s="19" t="n">
        <v>59</v>
      </c>
      <c r="F1392" s="19" t="n">
        <v>8898</v>
      </c>
      <c r="G1392" s="21" t="inlineStr">
        <is>
          <t>https://guiarsanrafael.com.ar/empresa/patios-del-mediterraneo-2/</t>
        </is>
      </c>
    </row>
    <row r="1393">
      <c r="A1393" s="22" t="n">
        <v>1392</v>
      </c>
      <c r="B1393" s="23" t="inlineStr">
        <is>
          <t>PATRICIA HUMAR</t>
        </is>
      </c>
      <c r="C1393" s="12" t="inlineStr">
        <is>
          <t>Esteticista cosmiatra</t>
        </is>
      </c>
      <c r="D1393" s="12" t="inlineStr">
        <is>
          <t>Centro de estetica</t>
        </is>
      </c>
      <c r="E1393" s="22" t="n">
        <v>128</v>
      </c>
      <c r="F1393" s="22" t="n">
        <v>6488</v>
      </c>
      <c r="G1393" s="24" t="inlineStr">
        <is>
          <t>https://guiarsanrafael.com.ar/empresa/patricia-humar/</t>
        </is>
      </c>
    </row>
    <row r="1394">
      <c r="A1394" s="19" t="n">
        <v>1393</v>
      </c>
      <c r="B1394" s="20" t="inlineStr">
        <is>
          <t>PATTI Ana Carolina</t>
        </is>
      </c>
      <c r="C1394" s="14" t="inlineStr">
        <is>
          <t>Escribanias escribanos escribanas mandatario mandataria notarios notarias</t>
        </is>
      </c>
      <c r="D1394" s="14" t="inlineStr">
        <is>
          <t>Escribanas</t>
        </is>
      </c>
      <c r="E1394" s="19" t="n">
        <v>81</v>
      </c>
      <c r="F1394" s="19" t="n">
        <v>8209</v>
      </c>
      <c r="G1394" s="21" t="inlineStr">
        <is>
          <t>https://guiarsanrafael.com.ar/empresa/patti-ana-carolina/</t>
        </is>
      </c>
    </row>
    <row r="1395">
      <c r="A1395" s="22" t="n">
        <v>1394</v>
      </c>
      <c r="B1395" s="23" t="inlineStr">
        <is>
          <t>PAULA ALIAS</t>
        </is>
      </c>
      <c r="C1395" s="12" t="inlineStr">
        <is>
          <t>Clinica medica</t>
        </is>
      </c>
      <c r="D1395" s="12" t="inlineStr">
        <is>
          <t>Clinica medica</t>
        </is>
      </c>
      <c r="E1395" s="22" t="n">
        <v>160</v>
      </c>
      <c r="F1395" s="22" t="n">
        <v>5277</v>
      </c>
      <c r="G1395" s="24" t="inlineStr">
        <is>
          <t>https://guiarsanrafael.com.ar/empresa/paula-alias/</t>
        </is>
      </c>
    </row>
    <row r="1396">
      <c r="A1396" s="19" t="n">
        <v>1395</v>
      </c>
      <c r="B1396" s="20" t="inlineStr">
        <is>
          <t>Paula Medina</t>
        </is>
      </c>
      <c r="C1396" s="14" t="inlineStr">
        <is>
          <t>Clinica del lenguaje</t>
        </is>
      </c>
      <c r="D1396" s="14" t="inlineStr">
        <is>
          <t>Clinica del lenguaje</t>
        </is>
      </c>
      <c r="E1396" s="19" t="n">
        <v>156</v>
      </c>
      <c r="F1396" s="19" t="n">
        <v>5321</v>
      </c>
      <c r="G1396" s="21" t="inlineStr">
        <is>
          <t>https://guiarsanrafael.com.ar/empresa/paula-medina/</t>
        </is>
      </c>
    </row>
    <row r="1397">
      <c r="A1397" s="22" t="n">
        <v>1396</v>
      </c>
      <c r="B1397" s="23" t="inlineStr">
        <is>
          <t>Paula Sesma</t>
        </is>
      </c>
      <c r="C1397" s="12" t="inlineStr">
        <is>
          <t>Psicologia</t>
        </is>
      </c>
      <c r="D1397" s="12" t="inlineStr">
        <is>
          <t>Psicologia</t>
        </is>
      </c>
      <c r="E1397" s="22" t="n">
        <v>143</v>
      </c>
      <c r="F1397" s="22" t="n">
        <v>5517</v>
      </c>
      <c r="G1397" s="24" t="inlineStr">
        <is>
          <t>https://guiarsanrafael.com.ar/empresa/paula-sesma/</t>
        </is>
      </c>
    </row>
    <row r="1398">
      <c r="A1398" s="19" t="n">
        <v>1397</v>
      </c>
      <c r="B1398" s="20" t="inlineStr">
        <is>
          <t>Paula Villar</t>
        </is>
      </c>
      <c r="C1398" s="14" t="inlineStr">
        <is>
          <t>Nutricion nutricionistas</t>
        </is>
      </c>
      <c r="D1398" s="14" t="inlineStr">
        <is>
          <t>Nutricionistas</t>
        </is>
      </c>
      <c r="E1398" s="19" t="n">
        <v>148</v>
      </c>
      <c r="F1398" s="19" t="n">
        <v>5440</v>
      </c>
      <c r="G1398" s="21" t="inlineStr">
        <is>
          <t>https://guiarsanrafael.com.ar/empresa/paula-villar/</t>
        </is>
      </c>
    </row>
    <row r="1399">
      <c r="A1399" s="22" t="n">
        <v>1398</v>
      </c>
      <c r="B1399" s="23" t="inlineStr">
        <is>
          <t>PAULA YEBRA</t>
        </is>
      </c>
      <c r="C1399" s="12" t="inlineStr">
        <is>
          <t>Kinesiologia y fisioterapia</t>
        </is>
      </c>
      <c r="D1399" s="12" t="inlineStr">
        <is>
          <t>Centro de rehabilitacion</t>
        </is>
      </c>
      <c r="E1399" s="22" t="n">
        <v>42</v>
      </c>
      <c r="F1399" s="22" t="n">
        <v>9886</v>
      </c>
      <c r="G1399" s="24" t="inlineStr">
        <is>
          <t>https://guiarsanrafael.com.ar/empresa/paula-yebra/</t>
        </is>
      </c>
    </row>
    <row r="1400">
      <c r="A1400" s="19" t="n">
        <v>1399</v>
      </c>
      <c r="B1400" s="20" t="inlineStr">
        <is>
          <t>PAULO ARIAN FLÓRES</t>
        </is>
      </c>
      <c r="C1400" s="14" t="inlineStr">
        <is>
          <t>Implantes</t>
        </is>
      </c>
      <c r="D1400" s="14" t="inlineStr">
        <is>
          <t>Estetica facial</t>
        </is>
      </c>
      <c r="E1400" s="19" t="n">
        <v>97</v>
      </c>
      <c r="F1400" s="19" t="n">
        <v>7570</v>
      </c>
      <c r="G1400" s="21" t="inlineStr">
        <is>
          <t>https://guiarsanrafael.com.ar/empresa/paulo-arian-flores/</t>
        </is>
      </c>
    </row>
    <row r="1401">
      <c r="A1401" s="22" t="n">
        <v>1400</v>
      </c>
      <c r="B1401" s="23" t="inlineStr">
        <is>
          <t>PAÑALERA JAZMIN</t>
        </is>
      </c>
      <c r="C1401" s="12" t="inlineStr">
        <is>
          <t>Panaleras</t>
        </is>
      </c>
      <c r="D1401" s="12" t="inlineStr">
        <is>
          <t>Panaleras</t>
        </is>
      </c>
      <c r="E1401" s="22" t="n">
        <v>162</v>
      </c>
      <c r="F1401" s="22" t="n">
        <v>5177</v>
      </c>
      <c r="G1401" s="24" t="inlineStr">
        <is>
          <t>https://guiarsanrafael.com.ar/empresa/panalera-jazmin/</t>
        </is>
      </c>
    </row>
    <row r="1402">
      <c r="A1402" s="19" t="n">
        <v>1401</v>
      </c>
      <c r="B1402" s="20" t="inlineStr">
        <is>
          <t>PAÑALERA POMPIS</t>
        </is>
      </c>
      <c r="C1402" s="14" t="inlineStr">
        <is>
          <t>Panaleras</t>
        </is>
      </c>
      <c r="D1402" s="14" t="inlineStr">
        <is>
          <t>Panaleras</t>
        </is>
      </c>
      <c r="E1402" s="19" t="n">
        <v>20</v>
      </c>
      <c r="F1402" s="19" t="n">
        <v>12216</v>
      </c>
      <c r="G1402" s="21" t="inlineStr">
        <is>
          <t>https://guiarsanrafael.com.ar/empresa/panalera-pompis/</t>
        </is>
      </c>
    </row>
    <row r="1403">
      <c r="A1403" s="22" t="n">
        <v>1402</v>
      </c>
      <c r="B1403" s="23" t="inlineStr">
        <is>
          <t>PELUDITOS Pets Shop</t>
        </is>
      </c>
      <c r="C1403" s="12" t="inlineStr">
        <is>
          <t>Alimentos balanceados</t>
        </is>
      </c>
      <c r="D1403" s="12" t="inlineStr">
        <is>
          <t>Alimentos balanceados</t>
        </is>
      </c>
      <c r="E1403" s="22" t="n">
        <v>24</v>
      </c>
      <c r="F1403" s="22" t="n">
        <v>11848</v>
      </c>
      <c r="G1403" s="24" t="inlineStr">
        <is>
          <t>https://guiarsanrafael.com.ar/empresa/peluditos-pets-shop/</t>
        </is>
      </c>
    </row>
    <row r="1404">
      <c r="A1404" s="19" t="n">
        <v>1403</v>
      </c>
      <c r="B1404" s="20" t="inlineStr">
        <is>
          <t>PELUQUERÍAS ALMAFUERTE</t>
        </is>
      </c>
      <c r="C1404" s="14" t="inlineStr">
        <is>
          <t>Barberias peluqueria barberos</t>
        </is>
      </c>
      <c r="D1404" s="14" t="inlineStr">
        <is>
          <t>Estilistas</t>
        </is>
      </c>
      <c r="E1404" s="19" t="n">
        <v>121</v>
      </c>
      <c r="F1404" s="19" t="n">
        <v>7029</v>
      </c>
      <c r="G1404" s="21" t="inlineStr">
        <is>
          <t>https://guiarsanrafael.com.ar/empresa/peluquerias-almafuerte/</t>
        </is>
      </c>
    </row>
    <row r="1405">
      <c r="A1405" s="22" t="n">
        <v>1404</v>
      </c>
      <c r="B1405" s="23" t="inlineStr">
        <is>
          <t>PEREGRIN Betiana Alicia</t>
        </is>
      </c>
      <c r="C1405" s="12" t="inlineStr">
        <is>
          <t>Escribanias escribanos escribanas mandatario mandataria notarios notarias</t>
        </is>
      </c>
      <c r="D1405" s="12" t="inlineStr">
        <is>
          <t>Escribanas</t>
        </is>
      </c>
      <c r="E1405" s="22" t="n">
        <v>81</v>
      </c>
      <c r="F1405" s="22" t="n">
        <v>8211</v>
      </c>
      <c r="G1405" s="24" t="inlineStr">
        <is>
          <t>https://guiarsanrafael.com.ar/empresa/peregrin-betiana-alicia/</t>
        </is>
      </c>
    </row>
    <row r="1406">
      <c r="A1406" s="19" t="n">
        <v>1405</v>
      </c>
      <c r="B1406" s="20" t="inlineStr">
        <is>
          <t>PERETÓ Miguel Angel</t>
        </is>
      </c>
      <c r="C1406" s="14" t="inlineStr">
        <is>
          <t>Escribanias escribanos escribanas mandatario mandataria notarios notarias</t>
        </is>
      </c>
      <c r="D1406" s="14" t="inlineStr">
        <is>
          <t>Escribanias</t>
        </is>
      </c>
      <c r="E1406" s="19" t="n">
        <v>81</v>
      </c>
      <c r="F1406" s="19" t="n">
        <v>8212</v>
      </c>
      <c r="G1406" s="21" t="inlineStr">
        <is>
          <t>https://guiarsanrafael.com.ar/empresa/pereto-miguel-angel/</t>
        </is>
      </c>
    </row>
    <row r="1407">
      <c r="A1407" s="22" t="n">
        <v>1406</v>
      </c>
      <c r="B1407" s="23" t="inlineStr">
        <is>
          <t>PEREZ Adriana Vanesa</t>
        </is>
      </c>
      <c r="C1407" s="12" t="inlineStr">
        <is>
          <t>Escribanias escribanos escribanas mandatario mandataria notarios notarias</t>
        </is>
      </c>
      <c r="D1407" s="12" t="inlineStr">
        <is>
          <t>Escribanas</t>
        </is>
      </c>
      <c r="E1407" s="22" t="n">
        <v>80</v>
      </c>
      <c r="F1407" s="22" t="n">
        <v>8217</v>
      </c>
      <c r="G1407" s="24" t="inlineStr">
        <is>
          <t>https://guiarsanrafael.com.ar/empresa/perez-adriana-vanesa/</t>
        </is>
      </c>
    </row>
    <row r="1408">
      <c r="A1408" s="19" t="n">
        <v>1407</v>
      </c>
      <c r="B1408" s="20" t="inlineStr">
        <is>
          <t>PEREZ Evelin Esther</t>
        </is>
      </c>
      <c r="C1408" s="14" t="inlineStr">
        <is>
          <t>Escribanias escribanos escribanas mandatario mandataria notarios notarias</t>
        </is>
      </c>
      <c r="D1408" s="14" t="inlineStr">
        <is>
          <t>Escribanas</t>
        </is>
      </c>
      <c r="E1408" s="19" t="n">
        <v>81</v>
      </c>
      <c r="F1408" s="19" t="n">
        <v>8213</v>
      </c>
      <c r="G1408" s="21" t="inlineStr">
        <is>
          <t>https://guiarsanrafael.com.ar/empresa/perez-evelin-esther/</t>
        </is>
      </c>
    </row>
    <row r="1409">
      <c r="A1409" s="22" t="n">
        <v>1408</v>
      </c>
      <c r="B1409" s="23" t="inlineStr">
        <is>
          <t>Perez Guadalupe Lucia</t>
        </is>
      </c>
      <c r="C1409" s="12" t="inlineStr">
        <is>
          <t>Abogados abogadas estudios juridicos</t>
        </is>
      </c>
      <c r="D1409" s="12" t="inlineStr">
        <is>
          <t>Abogadas</t>
        </is>
      </c>
      <c r="E1409" s="22" t="n">
        <v>107</v>
      </c>
      <c r="F1409" s="22" t="n">
        <v>7262</v>
      </c>
      <c r="G1409" s="24" t="inlineStr">
        <is>
          <t>https://guiarsanrafael.com.ar/empresa/perez-guadalupe-lucia/</t>
        </is>
      </c>
    </row>
    <row r="1410">
      <c r="A1410" s="19" t="n">
        <v>1409</v>
      </c>
      <c r="B1410" s="20" t="inlineStr">
        <is>
          <t>Perforaciones San Rafael</t>
        </is>
      </c>
      <c r="C1410" s="14" t="inlineStr">
        <is>
          <t>Atmosfericos desagotes pozos septicos perforaciones</t>
        </is>
      </c>
      <c r="D1410" s="14" t="inlineStr">
        <is>
          <t>Atmosfericos</t>
        </is>
      </c>
      <c r="E1410" s="19" t="n">
        <v>163</v>
      </c>
      <c r="F1410" s="19" t="n">
        <v>5086</v>
      </c>
      <c r="G1410" s="21" t="inlineStr">
        <is>
          <t>https://guiarsanrafael.com.ar/empresa/perforaciones-san-rafael/</t>
        </is>
      </c>
    </row>
    <row r="1411">
      <c r="A1411" s="22" t="n">
        <v>1410</v>
      </c>
      <c r="B1411" s="23" t="inlineStr">
        <is>
          <t>Perfumeria Wapas</t>
        </is>
      </c>
      <c r="C1411" s="12" t="inlineStr">
        <is>
          <t>Perfrumerias cosmeticos cosmetica</t>
        </is>
      </c>
      <c r="D1411" s="12" t="inlineStr">
        <is>
          <t>Cosmetica perfumeria</t>
        </is>
      </c>
      <c r="E1411" s="22" t="n">
        <v>65</v>
      </c>
      <c r="F1411" s="22" t="n">
        <v>8619</v>
      </c>
      <c r="G1411" s="24" t="inlineStr">
        <is>
          <t>https://guiarsanrafael.com.ar/empresa/perfumeria-wapas/</t>
        </is>
      </c>
    </row>
    <row r="1412">
      <c r="A1412" s="19" t="n">
        <v>1411</v>
      </c>
      <c r="B1412" s="20" t="inlineStr">
        <is>
          <t>Perfumería Capilar</t>
        </is>
      </c>
      <c r="C1412" s="14" t="inlineStr">
        <is>
          <t>Perfrumerias cosmeticos cosmetica</t>
        </is>
      </c>
      <c r="D1412" s="14" t="inlineStr">
        <is>
          <t>Cosmetica perfumeria</t>
        </is>
      </c>
      <c r="E1412" s="19" t="n">
        <v>65</v>
      </c>
      <c r="F1412" s="19" t="n">
        <v>8620</v>
      </c>
      <c r="G1412" s="21" t="inlineStr">
        <is>
          <t>https://guiarsanrafael.com.ar/empresa/perfumeria-capilar/</t>
        </is>
      </c>
    </row>
    <row r="1413">
      <c r="A1413" s="22" t="n">
        <v>1412</v>
      </c>
      <c r="B1413" s="23" t="inlineStr">
        <is>
          <t>Perfumería Irupé</t>
        </is>
      </c>
      <c r="C1413" s="12" t="inlineStr">
        <is>
          <t>Cosmetica cosmetologia cosmetologa cosmiatra</t>
        </is>
      </c>
      <c r="D1413" s="12" t="inlineStr">
        <is>
          <t>Perfumeria</t>
        </is>
      </c>
      <c r="E1413" s="22" t="n">
        <v>66</v>
      </c>
      <c r="F1413" s="22" t="n">
        <v>8622</v>
      </c>
      <c r="G1413" s="24" t="inlineStr">
        <is>
          <t>https://guiarsanrafael.com.ar/empresa/perfumeria-irupe/</t>
        </is>
      </c>
    </row>
    <row r="1414">
      <c r="A1414" s="19" t="n">
        <v>1413</v>
      </c>
      <c r="B1414" s="20" t="inlineStr">
        <is>
          <t>PERICAS Construcciones</t>
        </is>
      </c>
      <c r="C1414" s="14" t="inlineStr">
        <is>
          <t>Construccion en seco constructoras</t>
        </is>
      </c>
      <c r="D1414" s="14" t="inlineStr">
        <is>
          <t>Construccion en seco</t>
        </is>
      </c>
      <c r="E1414" s="19" t="n">
        <v>12</v>
      </c>
      <c r="F1414" s="19" t="n">
        <v>13144</v>
      </c>
      <c r="G1414" s="21" t="inlineStr">
        <is>
          <t>https://guiarsanrafael.com.ar/empresa/pericas-construcciones/</t>
        </is>
      </c>
    </row>
    <row r="1415">
      <c r="A1415" s="22" t="n">
        <v>1414</v>
      </c>
      <c r="B1415" s="23" t="inlineStr">
        <is>
          <t>PESCADERIA EGEA</t>
        </is>
      </c>
      <c r="C1415" s="12" t="inlineStr">
        <is>
          <t>Mariscos pescaderias</t>
        </is>
      </c>
      <c r="D1415" s="12" t="inlineStr">
        <is>
          <t>Mariscos</t>
        </is>
      </c>
      <c r="E1415" s="22" t="n">
        <v>61</v>
      </c>
      <c r="F1415" s="22" t="n">
        <v>8765</v>
      </c>
      <c r="G1415" s="24" t="inlineStr">
        <is>
          <t>https://guiarsanrafael.com.ar/empresa/pescaderia-egea/</t>
        </is>
      </c>
    </row>
    <row r="1416">
      <c r="A1416" s="19" t="n">
        <v>1415</v>
      </c>
      <c r="B1416" s="20" t="inlineStr">
        <is>
          <t>PESCADERIA EL GALLEGO</t>
        </is>
      </c>
      <c r="C1416" s="14" t="inlineStr">
        <is>
          <t>Casa de comidas rotiseria viandas</t>
        </is>
      </c>
      <c r="D1416" s="14" t="inlineStr">
        <is>
          <t>Casa de comidas</t>
        </is>
      </c>
      <c r="E1416" s="19" t="n">
        <v>16</v>
      </c>
      <c r="F1416" s="19" t="n">
        <v>12582</v>
      </c>
      <c r="G1416" s="21" t="inlineStr">
        <is>
          <t>https://guiarsanrafael.com.ar/empresa/pescaderia-el-gallego/</t>
        </is>
      </c>
    </row>
    <row r="1417">
      <c r="A1417" s="22" t="n">
        <v>1416</v>
      </c>
      <c r="B1417" s="23" t="inlineStr">
        <is>
          <t>PESSAMO María Florencia</t>
        </is>
      </c>
      <c r="C1417" s="12" t="inlineStr">
        <is>
          <t>Escribanias escribanos escribanas mandatario mandataria notarios notarias</t>
        </is>
      </c>
      <c r="D1417" s="12" t="inlineStr">
        <is>
          <t>Escribanas</t>
        </is>
      </c>
      <c r="E1417" s="22" t="n">
        <v>80</v>
      </c>
      <c r="F1417" s="22" t="n">
        <v>8218</v>
      </c>
      <c r="G1417" s="24" t="inlineStr">
        <is>
          <t>https://guiarsanrafael.com.ar/empresa/pessamo-maria-florencia/</t>
        </is>
      </c>
    </row>
    <row r="1418">
      <c r="A1418" s="19" t="n">
        <v>1417</v>
      </c>
      <c r="B1418" s="20" t="inlineStr">
        <is>
          <t>PETIT CHIOT Snacks Gourmet para Mascotas</t>
        </is>
      </c>
      <c r="C1418" s="14" t="inlineStr">
        <is>
          <t>Alimentos balanceados</t>
        </is>
      </c>
      <c r="D1418" s="14" t="inlineStr">
        <is>
          <t>Alimentos balanceados</t>
        </is>
      </c>
      <c r="E1418" s="19" t="n">
        <v>28</v>
      </c>
      <c r="F1418" s="19" t="n">
        <v>11306</v>
      </c>
      <c r="G1418" s="21" t="inlineStr">
        <is>
          <t>https://guiarsanrafael.com.ar/empresa/petit-chiot-snacks-gourmet-para-mascotas/</t>
        </is>
      </c>
    </row>
    <row r="1419">
      <c r="A1419" s="22" t="n">
        <v>1418</v>
      </c>
      <c r="B1419" s="23" t="inlineStr">
        <is>
          <t>Pettra Resto</t>
        </is>
      </c>
      <c r="C1419" s="12" t="inlineStr">
        <is>
          <t>Restaurantes parrilas</t>
        </is>
      </c>
      <c r="D1419" s="12" t="inlineStr">
        <is>
          <t>Restaurantes</t>
        </is>
      </c>
      <c r="E1419" s="22" t="n">
        <v>37</v>
      </c>
      <c r="F1419" s="22" t="n">
        <v>10263</v>
      </c>
      <c r="G1419" s="24" t="inlineStr">
        <is>
          <t>https://guiarsanrafael.com.ar/empresa/pettra-resto/</t>
        </is>
      </c>
    </row>
    <row r="1420">
      <c r="A1420" s="19" t="n">
        <v>1419</v>
      </c>
      <c r="B1420" s="20" t="inlineStr">
        <is>
          <t>Peñon del Aguila  Cerveceria</t>
        </is>
      </c>
      <c r="C1420" s="14" t="inlineStr">
        <is>
          <t>Restaurantes parrilas</t>
        </is>
      </c>
      <c r="D1420" s="14" t="inlineStr">
        <is>
          <t>Restaurantes</t>
        </is>
      </c>
      <c r="E1420" s="19" t="n">
        <v>37</v>
      </c>
      <c r="F1420" s="19" t="n">
        <v>10260</v>
      </c>
      <c r="G1420" s="21" t="inlineStr">
        <is>
          <t>https://guiarsanrafael.com.ar/empresa/penon-del-aguila-cerveceria/</t>
        </is>
      </c>
    </row>
    <row r="1421">
      <c r="A1421" s="22" t="n">
        <v>1420</v>
      </c>
      <c r="B1421" s="23" t="inlineStr">
        <is>
          <t>PH DESCARTABLES</t>
        </is>
      </c>
      <c r="C1421" s="12" t="inlineStr">
        <is>
          <t>Articulos de limpieza todo suelto</t>
        </is>
      </c>
      <c r="D1421" s="12" t="inlineStr">
        <is>
          <t>Cotillon</t>
        </is>
      </c>
      <c r="E1421" s="22" t="n">
        <v>22</v>
      </c>
      <c r="F1421" s="22" t="n">
        <v>12015</v>
      </c>
      <c r="G1421" s="24" t="inlineStr">
        <is>
          <t>https://guiarsanrafael.com.ar/empresa/ph-descartables/</t>
        </is>
      </c>
    </row>
    <row r="1422">
      <c r="A1422" s="19" t="n">
        <v>1421</v>
      </c>
      <c r="B1422" s="20" t="inlineStr">
        <is>
          <t>Piastrellini María Paula</t>
        </is>
      </c>
      <c r="C1422" s="14" t="inlineStr">
        <is>
          <t>Abogados abogadas estudios juridicos</t>
        </is>
      </c>
      <c r="D1422" s="14" t="inlineStr">
        <is>
          <t>Abogadas</t>
        </is>
      </c>
      <c r="E1422" s="19" t="n">
        <v>111</v>
      </c>
      <c r="F1422" s="19" t="n">
        <v>7203</v>
      </c>
      <c r="G1422" s="21" t="inlineStr">
        <is>
          <t>https://guiarsanrafael.com.ar/empresa/piastrellini-maria-paula/</t>
        </is>
      </c>
    </row>
    <row r="1423">
      <c r="A1423" s="22" t="n">
        <v>1422</v>
      </c>
      <c r="B1423" s="23" t="inlineStr">
        <is>
          <t>Pietrelli Andrea V.</t>
        </is>
      </c>
      <c r="C1423" s="12" t="inlineStr">
        <is>
          <t>Abogados abogadas estudios juridicos</t>
        </is>
      </c>
      <c r="D1423" s="12" t="inlineStr">
        <is>
          <t>Abogadas</t>
        </is>
      </c>
      <c r="E1423" s="22" t="n">
        <v>119</v>
      </c>
      <c r="F1423" s="22" t="n">
        <v>7118</v>
      </c>
      <c r="G1423" s="24" t="inlineStr">
        <is>
          <t>https://guiarsanrafael.com.ar/empresa/pietrelli-andrea-v/</t>
        </is>
      </c>
    </row>
    <row r="1424">
      <c r="A1424" s="19" t="n">
        <v>1423</v>
      </c>
      <c r="B1424" s="20" t="inlineStr">
        <is>
          <t>PINTURERIA AVENIDA</t>
        </is>
      </c>
      <c r="C1424" s="14" t="inlineStr">
        <is>
          <t>Pinturerias impermeabilizantes</t>
        </is>
      </c>
      <c r="D1424" s="14" t="inlineStr">
        <is>
          <t>Pinturerias</t>
        </is>
      </c>
      <c r="E1424" s="19" t="n">
        <v>57</v>
      </c>
      <c r="F1424" s="19" t="n">
        <v>9021</v>
      </c>
      <c r="G1424" s="21" t="inlineStr">
        <is>
          <t>https://guiarsanrafael.com.ar/empresa/pintureria-avenida/</t>
        </is>
      </c>
    </row>
    <row r="1425">
      <c r="A1425" s="22" t="n">
        <v>1424</v>
      </c>
      <c r="B1425" s="23" t="inlineStr">
        <is>
          <t>PINTURERIA LUGANE</t>
        </is>
      </c>
      <c r="C1425" s="12" t="inlineStr">
        <is>
          <t>Pintura del automotor taller</t>
        </is>
      </c>
      <c r="D1425" s="12" t="inlineStr">
        <is>
          <t>Pintura del automotor</t>
        </is>
      </c>
      <c r="E1425" s="22" t="n">
        <v>57</v>
      </c>
      <c r="F1425" s="22" t="n">
        <v>9020</v>
      </c>
      <c r="G1425" s="24" t="inlineStr">
        <is>
          <t>https://guiarsanrafael.com.ar/empresa/pintureria-lugane/</t>
        </is>
      </c>
    </row>
    <row r="1426">
      <c r="A1426" s="19" t="n">
        <v>1425</v>
      </c>
      <c r="B1426" s="20" t="inlineStr">
        <is>
          <t>Pinturerias Libertador</t>
        </is>
      </c>
      <c r="C1426" s="14" t="inlineStr">
        <is>
          <t>Pinturerias impermeabilizantes</t>
        </is>
      </c>
      <c r="D1426" s="14" t="inlineStr">
        <is>
          <t>Pinturerias</t>
        </is>
      </c>
      <c r="E1426" s="19" t="n">
        <v>57</v>
      </c>
      <c r="F1426" s="19" t="n">
        <v>9025</v>
      </c>
      <c r="G1426" s="21" t="inlineStr">
        <is>
          <t>https://guiarsanrafael.com.ar/empresa/pinturerias-libertador-2/</t>
        </is>
      </c>
    </row>
    <row r="1427">
      <c r="A1427" s="22" t="n">
        <v>1426</v>
      </c>
      <c r="B1427" s="23" t="inlineStr">
        <is>
          <t>PINTURERIAS SAN JOSÉ</t>
        </is>
      </c>
      <c r="C1427" s="12" t="inlineStr">
        <is>
          <t>Accesorios para piscinas</t>
        </is>
      </c>
      <c r="D1427" s="12" t="inlineStr">
        <is>
          <t>Accesorios para piscinas</t>
        </is>
      </c>
      <c r="E1427" s="22" t="n">
        <v>23</v>
      </c>
      <c r="F1427" s="22" t="n">
        <v>11897</v>
      </c>
      <c r="G1427" s="24" t="inlineStr">
        <is>
          <t>https://guiarsanrafael.com.ar/empresa/pinturerias-san-jose/</t>
        </is>
      </c>
    </row>
    <row r="1428">
      <c r="A1428" s="19" t="n">
        <v>1427</v>
      </c>
      <c r="B1428" s="20" t="inlineStr">
        <is>
          <t>Pinturerías Libertador</t>
        </is>
      </c>
      <c r="C1428" s="14" t="inlineStr">
        <is>
          <t>Pinturerias impermeabilizantes</t>
        </is>
      </c>
      <c r="D1428" s="14" t="inlineStr">
        <is>
          <t>Pinturerias</t>
        </is>
      </c>
      <c r="E1428" s="19" t="n">
        <v>58</v>
      </c>
      <c r="F1428" s="19" t="n">
        <v>9029</v>
      </c>
      <c r="G1428" s="21" t="inlineStr">
        <is>
          <t>https://guiarsanrafael.com.ar/empresa/pinturerias-libertador/</t>
        </is>
      </c>
    </row>
    <row r="1429">
      <c r="A1429" s="22" t="n">
        <v>1428</v>
      </c>
      <c r="B1429" s="23" t="inlineStr">
        <is>
          <t>PIPI PANCHOS Sandwichería</t>
        </is>
      </c>
      <c r="C1429" s="12" t="inlineStr">
        <is>
          <t>Pancherias lomos sanguchreria pizaerias pizzas</t>
        </is>
      </c>
      <c r="D1429" s="12" t="inlineStr">
        <is>
          <t>Hamburgueserias</t>
        </is>
      </c>
      <c r="E1429" s="22" t="n">
        <v>129</v>
      </c>
      <c r="F1429" s="22" t="n">
        <v>6401</v>
      </c>
      <c r="G1429" s="24" t="inlineStr">
        <is>
          <t>https://guiarsanrafael.com.ar/empresa/pipi-panchos-sandwicheria/</t>
        </is>
      </c>
    </row>
    <row r="1430">
      <c r="A1430" s="19" t="n">
        <v>1429</v>
      </c>
      <c r="B1430" s="20" t="inlineStr">
        <is>
          <t>PISCINAS SAN RAFAEL</t>
        </is>
      </c>
      <c r="C1430" s="14" t="inlineStr">
        <is>
          <t>Accesorios para piscinas</t>
        </is>
      </c>
      <c r="D1430" s="14" t="inlineStr">
        <is>
          <t>Accesorios para piscinas</t>
        </is>
      </c>
      <c r="E1430" s="19" t="n">
        <v>12</v>
      </c>
      <c r="F1430" s="19" t="n">
        <v>13136</v>
      </c>
      <c r="G1430" s="21" t="inlineStr">
        <is>
          <t>https://guiarsanrafael.com.ar/empresa/piscinas-san-rafael/</t>
        </is>
      </c>
    </row>
    <row r="1431">
      <c r="A1431" s="22" t="n">
        <v>1430</v>
      </c>
      <c r="B1431" s="23" t="inlineStr">
        <is>
          <t>Pizarro Erica</t>
        </is>
      </c>
      <c r="C1431" s="12" t="inlineStr">
        <is>
          <t>Abogados abogadas estudios juridicos</t>
        </is>
      </c>
      <c r="D1431" s="12" t="inlineStr">
        <is>
          <t>Abogadas</t>
        </is>
      </c>
      <c r="E1431" s="22" t="n">
        <v>119</v>
      </c>
      <c r="F1431" s="22" t="n">
        <v>7115</v>
      </c>
      <c r="G1431" s="24" t="inlineStr">
        <is>
          <t>https://guiarsanrafael.com.ar/empresa/pizarro-erica/</t>
        </is>
      </c>
    </row>
    <row r="1432">
      <c r="A1432" s="19" t="n">
        <v>1431</v>
      </c>
      <c r="B1432" s="20" t="inlineStr">
        <is>
          <t>PIZZA MARCA</t>
        </is>
      </c>
      <c r="C1432" s="14" t="inlineStr">
        <is>
          <t>Pizzerias casa de comidas</t>
        </is>
      </c>
      <c r="D1432" s="14" t="inlineStr">
        <is>
          <t>Empanadas</t>
        </is>
      </c>
      <c r="E1432" s="19" t="n">
        <v>96</v>
      </c>
      <c r="F1432" s="19" t="n">
        <v>7614</v>
      </c>
      <c r="G1432" s="21" t="inlineStr">
        <is>
          <t>https://guiarsanrafael.com.ar/empresa/pizza-marca/</t>
        </is>
      </c>
    </row>
    <row r="1433">
      <c r="A1433" s="22" t="n">
        <v>1432</v>
      </c>
      <c r="B1433" s="23" t="inlineStr">
        <is>
          <t>PLAKE Regalos</t>
        </is>
      </c>
      <c r="C1433" s="12" t="inlineStr">
        <is>
          <t>Marroquineria</t>
        </is>
      </c>
      <c r="D1433" s="12" t="inlineStr">
        <is>
          <t>Artesanias</t>
        </is>
      </c>
      <c r="E1433" s="22" t="n">
        <v>52</v>
      </c>
      <c r="F1433" s="22" t="n">
        <v>9298</v>
      </c>
      <c r="G1433" s="24" t="inlineStr">
        <is>
          <t>https://guiarsanrafael.com.ar/empresa/placke-regalos/</t>
        </is>
      </c>
    </row>
    <row r="1434">
      <c r="A1434" s="19" t="n">
        <v>1433</v>
      </c>
      <c r="B1434" s="20" t="inlineStr">
        <is>
          <t>Planeta Mascota</t>
        </is>
      </c>
      <c r="C1434" s="14" t="inlineStr">
        <is>
          <t>Alimentos balanceados</t>
        </is>
      </c>
      <c r="D1434" s="14" t="inlineStr">
        <is>
          <t>Alimentos balanceados</t>
        </is>
      </c>
      <c r="E1434" s="19" t="n">
        <v>44</v>
      </c>
      <c r="F1434" s="19" t="n">
        <v>9679</v>
      </c>
      <c r="G1434" s="21" t="inlineStr">
        <is>
          <t>https://guiarsanrafael.com.ar/empresa/planeta-mascota/</t>
        </is>
      </c>
    </row>
    <row r="1435">
      <c r="A1435" s="22" t="n">
        <v>1434</v>
      </c>
      <c r="B1435" s="23" t="inlineStr">
        <is>
          <t>PLAZA COPIADOS</t>
        </is>
      </c>
      <c r="C1435" s="12" t="inlineStr">
        <is>
          <t>Carteleria graficas ploteados letreros</t>
        </is>
      </c>
      <c r="D1435" s="12" t="inlineStr">
        <is>
          <t>Carteleria</t>
        </is>
      </c>
      <c r="E1435" s="22" t="n">
        <v>136</v>
      </c>
      <c r="F1435" s="22" t="n">
        <v>5953</v>
      </c>
      <c r="G1435" s="24" t="inlineStr">
        <is>
          <t>https://guiarsanrafael.com.ar/empresa/plaza-copiados/</t>
        </is>
      </c>
    </row>
    <row r="1436">
      <c r="A1436" s="19" t="n">
        <v>1435</v>
      </c>
      <c r="B1436" s="20" t="inlineStr">
        <is>
          <t>PLAZA CUCINA</t>
        </is>
      </c>
      <c r="C1436" s="14" t="inlineStr">
        <is>
          <t>Casa de comidas rotiseria viandas</t>
        </is>
      </c>
      <c r="D1436" s="14" t="inlineStr">
        <is>
          <t>Casa de comidas</t>
        </is>
      </c>
      <c r="E1436" s="19" t="n">
        <v>121</v>
      </c>
      <c r="F1436" s="19" t="n">
        <v>7046</v>
      </c>
      <c r="G1436" s="21" t="inlineStr">
        <is>
          <t>https://guiarsanrafael.com.ar/empresa/plaza-cucina/</t>
        </is>
      </c>
    </row>
    <row r="1437">
      <c r="A1437" s="22" t="n">
        <v>1436</v>
      </c>
      <c r="B1437" s="23" t="inlineStr">
        <is>
          <t>PLAZA Instituto Médico</t>
        </is>
      </c>
      <c r="C1437" s="12" t="inlineStr">
        <is>
          <t>Consultorios medicos</t>
        </is>
      </c>
      <c r="D1437" s="12" t="inlineStr">
        <is>
          <t>Consultorios medicos</t>
        </is>
      </c>
      <c r="E1437" s="22" t="n">
        <v>131</v>
      </c>
      <c r="F1437" s="22" t="n">
        <v>6277</v>
      </c>
      <c r="G1437" s="24" t="inlineStr">
        <is>
          <t>https://guiarsanrafael.com.ar/empresa/plaza-instituto-medico/</t>
        </is>
      </c>
    </row>
    <row r="1438">
      <c r="A1438" s="19" t="n">
        <v>1437</v>
      </c>
      <c r="B1438" s="20" t="inlineStr">
        <is>
          <t>PLEGADOS VERNINI</t>
        </is>
      </c>
      <c r="C1438" s="14" t="inlineStr">
        <is>
          <t>Corte y plegado de chapas</t>
        </is>
      </c>
      <c r="D1438" s="14" t="inlineStr">
        <is>
          <t>Corte y plegado de chapas</t>
        </is>
      </c>
      <c r="E1438" s="19" t="n">
        <v>172</v>
      </c>
      <c r="F1438" s="19" t="n">
        <v>4297</v>
      </c>
      <c r="G1438" s="21" t="inlineStr">
        <is>
          <t>https://guiarsanrafael.com.ar/empresa/plegados-vernini/</t>
        </is>
      </c>
    </row>
    <row r="1439">
      <c r="A1439" s="22" t="n">
        <v>1438</v>
      </c>
      <c r="B1439" s="23" t="inlineStr">
        <is>
          <t>PLOTEADOS ESCUDERO</t>
        </is>
      </c>
      <c r="C1439" s="12" t="inlineStr">
        <is>
          <t>Graficas imprentas</t>
        </is>
      </c>
      <c r="D1439" s="12" t="inlineStr">
        <is>
          <t>Carteleria</t>
        </is>
      </c>
      <c r="E1439" s="22" t="n">
        <v>95</v>
      </c>
      <c r="F1439" s="22" t="n">
        <v>7656</v>
      </c>
      <c r="G1439" s="24" t="inlineStr">
        <is>
          <t>https://guiarsanrafael.com.ar/empresa/ploteados-escudero/</t>
        </is>
      </c>
    </row>
    <row r="1440">
      <c r="A1440" s="19" t="n">
        <v>1439</v>
      </c>
      <c r="B1440" s="20" t="inlineStr">
        <is>
          <t>PLOTEART Servicios Gráficos</t>
        </is>
      </c>
      <c r="C1440" s="14" t="inlineStr">
        <is>
          <t>Gigantografias graficas</t>
        </is>
      </c>
      <c r="D1440" s="14" t="inlineStr">
        <is>
          <t>Carteleria</t>
        </is>
      </c>
      <c r="E1440" s="19" t="n">
        <v>95</v>
      </c>
      <c r="F1440" s="19" t="n">
        <v>7699</v>
      </c>
      <c r="G1440" s="21" t="inlineStr">
        <is>
          <t>https://guiarsanrafael.com.ar/empresa/plotteart-servicios-graficos/</t>
        </is>
      </c>
    </row>
    <row r="1441">
      <c r="A1441" s="22" t="n">
        <v>1440</v>
      </c>
      <c r="B1441" s="23" t="inlineStr">
        <is>
          <t>Plus Oil Lubricantes</t>
        </is>
      </c>
      <c r="C1441" s="12" t="inlineStr">
        <is>
          <t>Lubricantes aceites lubricentro</t>
        </is>
      </c>
      <c r="D1441" s="12" t="inlineStr">
        <is>
          <t>Lubricantes</t>
        </is>
      </c>
      <c r="E1441" s="22" t="n">
        <v>49</v>
      </c>
      <c r="F1441" s="22" t="n">
        <v>9366</v>
      </c>
      <c r="G1441" s="24" t="inlineStr">
        <is>
          <t>https://guiarsanrafael.com.ar/empresa/plus-oil-lubricantes/</t>
        </is>
      </c>
    </row>
    <row r="1442">
      <c r="A1442" s="19" t="n">
        <v>1441</v>
      </c>
      <c r="B1442" s="20" t="inlineStr">
        <is>
          <t>POGLIANI Bicycles</t>
        </is>
      </c>
      <c r="C1442" s="14" t="inlineStr">
        <is>
          <t>Bicicleterias</t>
        </is>
      </c>
      <c r="D1442" s="14" t="inlineStr">
        <is>
          <t>Bicicleterias</t>
        </is>
      </c>
      <c r="E1442" s="19" t="n">
        <v>140</v>
      </c>
      <c r="F1442" s="19" t="n">
        <v>5650</v>
      </c>
      <c r="G1442" s="21" t="inlineStr">
        <is>
          <t>https://guiarsanrafael.com.ar/empresa/pogliani-bicycles/</t>
        </is>
      </c>
    </row>
    <row r="1443">
      <c r="A1443" s="22" t="n">
        <v>1442</v>
      </c>
      <c r="B1443" s="23" t="inlineStr">
        <is>
          <t>POLLOS G.I</t>
        </is>
      </c>
      <c r="C1443" s="12" t="inlineStr">
        <is>
          <t>Casa de comidas rotiseria viandas</t>
        </is>
      </c>
      <c r="D1443" s="12" t="inlineStr">
        <is>
          <t>Casa de comidas</t>
        </is>
      </c>
      <c r="E1443" s="22" t="n">
        <v>27</v>
      </c>
      <c r="F1443" s="22" t="n">
        <v>11415</v>
      </c>
      <c r="G1443" s="24" t="inlineStr">
        <is>
          <t>https://guiarsanrafael.com.ar/empresa/pollos-g-i/</t>
        </is>
      </c>
    </row>
    <row r="1444">
      <c r="A1444" s="19" t="n">
        <v>1443</v>
      </c>
      <c r="B1444" s="20" t="inlineStr">
        <is>
          <t>POLLOS NELVIS</t>
        </is>
      </c>
      <c r="C1444" s="14" t="inlineStr">
        <is>
          <t>Casa de comidas rotiseria viandas</t>
        </is>
      </c>
      <c r="D1444" s="14" t="inlineStr">
        <is>
          <t>Casa de comidas</t>
        </is>
      </c>
      <c r="E1444" s="19" t="n">
        <v>12</v>
      </c>
      <c r="F1444" s="19" t="n">
        <v>13236</v>
      </c>
      <c r="G1444" s="21" t="inlineStr">
        <is>
          <t>https://guiarsanrafael.com.ar/empresa/pollos-nelvis/</t>
        </is>
      </c>
    </row>
    <row r="1445">
      <c r="A1445" s="22" t="n">
        <v>1444</v>
      </c>
      <c r="B1445" s="23" t="inlineStr">
        <is>
          <t>PONCE Carpainter</t>
        </is>
      </c>
      <c r="C1445" s="12" t="inlineStr">
        <is>
          <t>Estetica vehicular tuning</t>
        </is>
      </c>
      <c r="D1445" s="12" t="inlineStr">
        <is>
          <t>Estetica vehicular</t>
        </is>
      </c>
      <c r="E1445" s="22" t="n">
        <v>170</v>
      </c>
      <c r="F1445" s="22" t="n">
        <v>4543</v>
      </c>
      <c r="G1445" s="24" t="inlineStr">
        <is>
          <t>https://guiarsanrafael.com.ar/empresa/ponce-carpainter/</t>
        </is>
      </c>
    </row>
    <row r="1446">
      <c r="A1446" s="19" t="n">
        <v>1445</v>
      </c>
      <c r="B1446" s="20" t="inlineStr">
        <is>
          <t>PONY Polarizados</t>
        </is>
      </c>
      <c r="C1446" s="14" t="inlineStr">
        <is>
          <t>Estetica vehicular tuning</t>
        </is>
      </c>
      <c r="D1446" s="14" t="inlineStr">
        <is>
          <t>Estetica vehicular</t>
        </is>
      </c>
      <c r="E1446" s="19" t="n">
        <v>26</v>
      </c>
      <c r="F1446" s="19" t="n">
        <v>11528</v>
      </c>
      <c r="G1446" s="21" t="inlineStr">
        <is>
          <t>https://guiarsanrafael.com.ar/empresa/pony-polarizados/</t>
        </is>
      </c>
    </row>
    <row r="1447">
      <c r="A1447" s="22" t="n">
        <v>1446</v>
      </c>
      <c r="B1447" s="23" t="inlineStr">
        <is>
          <t>Porte Roxana Elisabeth</t>
        </is>
      </c>
      <c r="C1447" s="12" t="inlineStr">
        <is>
          <t>Abogados abogadas estudios juridicos</t>
        </is>
      </c>
      <c r="D1447" s="12" t="inlineStr">
        <is>
          <t>Abogadas</t>
        </is>
      </c>
      <c r="E1447" s="22" t="n">
        <v>114</v>
      </c>
      <c r="F1447" s="22" t="n">
        <v>7180</v>
      </c>
      <c r="G1447" s="24" t="inlineStr">
        <is>
          <t>https://guiarsanrafael.com.ar/empresa/porte-roxana-elisabeth/</t>
        </is>
      </c>
    </row>
    <row r="1448">
      <c r="A1448" s="19" t="n">
        <v>1447</v>
      </c>
      <c r="B1448" s="20" t="inlineStr">
        <is>
          <t>Posada Boutique La Barrica</t>
        </is>
      </c>
      <c r="C1448" s="14" t="inlineStr">
        <is>
          <t>Alojamiento cabanas camping</t>
        </is>
      </c>
      <c r="D1448" s="14" t="inlineStr">
        <is>
          <t>Alojamientos</t>
        </is>
      </c>
      <c r="E1448" s="19" t="n">
        <v>58</v>
      </c>
      <c r="F1448" s="19" t="n">
        <v>8948</v>
      </c>
      <c r="G1448" s="21" t="inlineStr">
        <is>
          <t>https://guiarsanrafael.com.ar/empresa/posada-boutique-la-barrica/</t>
        </is>
      </c>
    </row>
    <row r="1449">
      <c r="A1449" s="22" t="n">
        <v>1448</v>
      </c>
      <c r="B1449" s="23" t="inlineStr">
        <is>
          <t>POWER VISION Optica &amp; Contactologia</t>
        </is>
      </c>
      <c r="C1449" s="12" t="inlineStr">
        <is>
          <t>Contactologia</t>
        </is>
      </c>
      <c r="D1449" s="12" t="inlineStr">
        <is>
          <t>Contactologia</t>
        </is>
      </c>
      <c r="E1449" s="22" t="n">
        <v>25</v>
      </c>
      <c r="F1449" s="22" t="n">
        <v>11721</v>
      </c>
      <c r="G1449" s="24" t="inlineStr">
        <is>
          <t>https://guiarsanrafael.com.ar/empresa/power-vision-optica-y-contactologia/</t>
        </is>
      </c>
    </row>
    <row r="1450">
      <c r="A1450" s="19" t="n">
        <v>1449</v>
      </c>
      <c r="B1450" s="20" t="inlineStr">
        <is>
          <t>Pozo Ariel Eduardo</t>
        </is>
      </c>
      <c r="C1450" s="14" t="inlineStr">
        <is>
          <t>Abogados abogadas estudios juridicos</t>
        </is>
      </c>
      <c r="D1450" s="14" t="inlineStr">
        <is>
          <t>Abogados</t>
        </is>
      </c>
      <c r="E1450" s="19" t="n">
        <v>114</v>
      </c>
      <c r="F1450" s="19" t="n">
        <v>7171</v>
      </c>
      <c r="G1450" s="21" t="inlineStr">
        <is>
          <t>https://guiarsanrafael.com.ar/empresa/pozo-ariel-eduardo/</t>
        </is>
      </c>
    </row>
    <row r="1451">
      <c r="A1451" s="22" t="n">
        <v>1450</v>
      </c>
      <c r="B1451" s="23" t="inlineStr">
        <is>
          <t>Pozo Norali del Valle</t>
        </is>
      </c>
      <c r="C1451" s="12" t="inlineStr">
        <is>
          <t>Abogados abogadas estudios juridicos</t>
        </is>
      </c>
      <c r="D1451" s="12" t="inlineStr">
        <is>
          <t>Abogadas</t>
        </is>
      </c>
      <c r="E1451" s="22" t="n">
        <v>109</v>
      </c>
      <c r="F1451" s="22" t="n">
        <v>7245</v>
      </c>
      <c r="G1451" s="24" t="inlineStr">
        <is>
          <t>https://guiarsanrafael.com.ar/empresa/pozo-norali-del-valle/</t>
        </is>
      </c>
    </row>
    <row r="1452">
      <c r="A1452" s="19" t="n">
        <v>1451</v>
      </c>
      <c r="B1452" s="20" t="inlineStr">
        <is>
          <t>PRADOS Liliana Inés</t>
        </is>
      </c>
      <c r="C1452" s="14" t="inlineStr">
        <is>
          <t>Escribanias escribanos escribanas mandatario mandataria notarios notarias</t>
        </is>
      </c>
      <c r="D1452" s="14" t="inlineStr">
        <is>
          <t>Escribanas</t>
        </is>
      </c>
      <c r="E1452" s="19" t="n">
        <v>80</v>
      </c>
      <c r="F1452" s="19" t="n">
        <v>8219</v>
      </c>
      <c r="G1452" s="21" t="inlineStr">
        <is>
          <t>https://guiarsanrafael.com.ar/empresa/prados-liliana-ines/</t>
        </is>
      </c>
    </row>
    <row r="1453">
      <c r="A1453" s="22" t="n">
        <v>1452</v>
      </c>
      <c r="B1453" s="23" t="inlineStr">
        <is>
          <t>PRIETO Juan Ignacio</t>
        </is>
      </c>
      <c r="C1453" s="12" t="inlineStr">
        <is>
          <t>Escribanias escribanos escribanas mandatario mandataria notarios notarias</t>
        </is>
      </c>
      <c r="D1453" s="12" t="inlineStr">
        <is>
          <t>Escribanias</t>
        </is>
      </c>
      <c r="E1453" s="22" t="n">
        <v>80</v>
      </c>
      <c r="F1453" s="22" t="n">
        <v>8220</v>
      </c>
      <c r="G1453" s="24" t="inlineStr">
        <is>
          <t>https://guiarsanrafael.com.ar/empresa/prieto-juan-ignacio/</t>
        </is>
      </c>
    </row>
    <row r="1454">
      <c r="A1454" s="19" t="n">
        <v>1453</v>
      </c>
      <c r="B1454" s="20" t="inlineStr">
        <is>
          <t>Prieto María Julieta</t>
        </is>
      </c>
      <c r="C1454" s="14" t="inlineStr">
        <is>
          <t>Abogados abogadas estudios juridicos</t>
        </is>
      </c>
      <c r="D1454" s="14" t="inlineStr">
        <is>
          <t>Abogadas</t>
        </is>
      </c>
      <c r="E1454" s="19" t="n">
        <v>107</v>
      </c>
      <c r="F1454" s="19" t="n">
        <v>7270</v>
      </c>
      <c r="G1454" s="21" t="inlineStr">
        <is>
          <t>https://guiarsanrafael.com.ar/empresa/prieto-maria-julieta/</t>
        </is>
      </c>
    </row>
    <row r="1455">
      <c r="A1455" s="22" t="n">
        <v>1454</v>
      </c>
      <c r="B1455" s="23" t="inlineStr">
        <is>
          <t>PRINT Estudio Gráfico</t>
        </is>
      </c>
      <c r="C1455" s="12" t="inlineStr">
        <is>
          <t>Carteleria graficas ploteados letreros</t>
        </is>
      </c>
      <c r="D1455" s="12" t="inlineStr">
        <is>
          <t>Carteleria</t>
        </is>
      </c>
      <c r="E1455" s="22" t="n">
        <v>31</v>
      </c>
      <c r="F1455" s="22" t="n">
        <v>10905</v>
      </c>
      <c r="G1455" s="24" t="inlineStr">
        <is>
          <t>https://guiarsanrafael.com.ar/empresa/print-estudio-grafico/</t>
        </is>
      </c>
    </row>
    <row r="1456">
      <c r="A1456" s="19" t="n">
        <v>1455</v>
      </c>
      <c r="B1456" s="20" t="inlineStr">
        <is>
          <t>Privilegio Hostel</t>
        </is>
      </c>
      <c r="C1456" s="14" t="inlineStr">
        <is>
          <t>Alojamiento cabanas camping</t>
        </is>
      </c>
      <c r="D1456" s="14" t="inlineStr">
        <is>
          <t>Alojamientos</t>
        </is>
      </c>
      <c r="E1456" s="19" t="n">
        <v>59</v>
      </c>
      <c r="F1456" s="19" t="n">
        <v>8925</v>
      </c>
      <c r="G1456" s="21" t="inlineStr">
        <is>
          <t>https://guiarsanrafael.com.ar/empresa/privilegio-hostel/</t>
        </is>
      </c>
    </row>
    <row r="1457">
      <c r="A1457" s="22" t="n">
        <v>1456</v>
      </c>
      <c r="B1457" s="23" t="inlineStr">
        <is>
          <t>PROCAR REPUESTOS FORD</t>
        </is>
      </c>
      <c r="C1457" s="12" t="inlineStr">
        <is>
          <t>Repuestos del automotor autopartes</t>
        </is>
      </c>
      <c r="D1457" s="12" t="inlineStr">
        <is>
          <t>Autopartes</t>
        </is>
      </c>
      <c r="E1457" s="22" t="n">
        <v>75</v>
      </c>
      <c r="F1457" s="22" t="n">
        <v>8400</v>
      </c>
      <c r="G1457" s="24" t="inlineStr">
        <is>
          <t>https://guiarsanrafael.com.ar/empresa/procar-repuestos-ford/</t>
        </is>
      </c>
    </row>
    <row r="1458">
      <c r="A1458" s="19" t="n">
        <v>1457</v>
      </c>
      <c r="B1458" s="20" t="inlineStr">
        <is>
          <t>PRONTO GRÁFICA</t>
        </is>
      </c>
      <c r="C1458" s="14" t="inlineStr">
        <is>
          <t>Carteleria graficas ploteados letreros</t>
        </is>
      </c>
      <c r="D1458" s="14" t="inlineStr">
        <is>
          <t>Carteleria</t>
        </is>
      </c>
      <c r="E1458" s="19" t="n">
        <v>171</v>
      </c>
      <c r="F1458" s="19" t="n">
        <v>4352</v>
      </c>
      <c r="G1458" s="21" t="inlineStr">
        <is>
          <t>https://guiarsanrafael.com.ar/empresa/pronto-grafica/</t>
        </is>
      </c>
    </row>
    <row r="1459">
      <c r="A1459" s="22" t="n">
        <v>1458</v>
      </c>
      <c r="B1459" s="23" t="inlineStr">
        <is>
          <t>PSA Purificadores de Agua</t>
        </is>
      </c>
      <c r="C1459" s="12" t="inlineStr">
        <is>
          <t>Agua distribuidoras</t>
        </is>
      </c>
      <c r="D1459" s="12" t="inlineStr">
        <is>
          <t>Distribuidoras</t>
        </is>
      </c>
      <c r="E1459" s="22" t="n">
        <v>29</v>
      </c>
      <c r="F1459" s="22" t="n">
        <v>11167</v>
      </c>
      <c r="G1459" s="24" t="inlineStr">
        <is>
          <t>https://guiarsanrafael.com.ar/empresa/psa-purificadores-bajo-mesada/</t>
        </is>
      </c>
    </row>
    <row r="1460">
      <c r="A1460" s="19" t="n">
        <v>1459</v>
      </c>
      <c r="B1460" s="20" t="inlineStr">
        <is>
          <t>PUERTO DESEADO Pescadería</t>
        </is>
      </c>
      <c r="C1460" s="14" t="inlineStr">
        <is>
          <t>Casa de comidas rotiseria viandas</t>
        </is>
      </c>
      <c r="D1460" s="14" t="inlineStr">
        <is>
          <t>Mariscos</t>
        </is>
      </c>
      <c r="E1460" s="19" t="n">
        <v>95</v>
      </c>
      <c r="F1460" s="19" t="n">
        <v>7665</v>
      </c>
      <c r="G1460" s="21" t="inlineStr">
        <is>
          <t>https://guiarsanrafael.com.ar/empresa/puerto-deseado-pescaderia/</t>
        </is>
      </c>
    </row>
    <row r="1461">
      <c r="A1461" s="22" t="n">
        <v>1460</v>
      </c>
      <c r="B1461" s="23" t="inlineStr">
        <is>
          <t>Puesta del Sol</t>
        </is>
      </c>
      <c r="C1461" s="12" t="inlineStr">
        <is>
          <t>Hoteles hostel hoteleria</t>
        </is>
      </c>
      <c r="D1461" s="12" t="inlineStr">
        <is>
          <t>Alojamientos</t>
        </is>
      </c>
      <c r="E1461" s="22" t="n">
        <v>92</v>
      </c>
      <c r="F1461" s="22" t="n">
        <v>7845</v>
      </c>
      <c r="G1461" s="24" t="inlineStr">
        <is>
          <t>https://guiarsanrafael.com.ar/empresa/puesta-del-sol/</t>
        </is>
      </c>
    </row>
    <row r="1462">
      <c r="A1462" s="19" t="n">
        <v>1461</v>
      </c>
      <c r="B1462" s="20" t="inlineStr">
        <is>
          <t>PUESTO BIKE Bicicletería</t>
        </is>
      </c>
      <c r="C1462" s="14" t="inlineStr">
        <is>
          <t>Bicicleterias</t>
        </is>
      </c>
      <c r="D1462" s="14" t="inlineStr">
        <is>
          <t>Bicicleterias</t>
        </is>
      </c>
      <c r="E1462" s="19" t="n">
        <v>10</v>
      </c>
      <c r="F1462" s="19" t="n">
        <v>13474</v>
      </c>
      <c r="G1462" s="21" t="inlineStr">
        <is>
          <t>https://guiarsanrafael.com.ar/empresa/puesto-bike-bicicleteria/</t>
        </is>
      </c>
    </row>
    <row r="1463">
      <c r="A1463" s="22" t="n">
        <v>1462</v>
      </c>
      <c r="B1463" s="23" t="inlineStr">
        <is>
          <t>Pueyrredon Motos</t>
        </is>
      </c>
      <c r="C1463" s="12" t="inlineStr">
        <is>
          <t>Agencias de motos</t>
        </is>
      </c>
      <c r="D1463" s="12" t="inlineStr">
        <is>
          <t>Agencias de motos</t>
        </is>
      </c>
      <c r="E1463" s="22" t="n">
        <v>71</v>
      </c>
      <c r="F1463" s="22" t="n">
        <v>8464</v>
      </c>
      <c r="G1463" s="24" t="inlineStr">
        <is>
          <t>https://guiarsanrafael.com.ar/empresa/pueyrredon-motos/</t>
        </is>
      </c>
    </row>
    <row r="1464">
      <c r="A1464" s="19" t="n">
        <v>1463</v>
      </c>
      <c r="B1464" s="20" t="inlineStr">
        <is>
          <t>PULSO FITNESS Gimnasio</t>
        </is>
      </c>
      <c r="C1464" s="14" t="inlineStr">
        <is>
          <t>Gimnasios gym</t>
        </is>
      </c>
      <c r="D1464" s="14" t="inlineStr">
        <is>
          <t>Gimnasios</t>
        </is>
      </c>
      <c r="E1464" s="19" t="n">
        <v>15</v>
      </c>
      <c r="F1464" s="19" t="n">
        <v>12713</v>
      </c>
      <c r="G1464" s="21" t="inlineStr">
        <is>
          <t>https://guiarsanrafael.com.ar/empresa/pulso-fitness-gimnasio/</t>
        </is>
      </c>
    </row>
    <row r="1465">
      <c r="A1465" s="22" t="n">
        <v>1464</v>
      </c>
      <c r="B1465" s="23" t="inlineStr">
        <is>
          <t>PUNTO de ENCUENTRO Almacén Fiambrería</t>
        </is>
      </c>
      <c r="C1465" s="12" t="inlineStr">
        <is>
          <t>Almacen minimarket</t>
        </is>
      </c>
      <c r="D1465" s="12" t="inlineStr">
        <is>
          <t>Almacen</t>
        </is>
      </c>
      <c r="E1465" s="22" t="n">
        <v>35</v>
      </c>
      <c r="F1465" s="22" t="n">
        <v>10356</v>
      </c>
      <c r="G1465" s="24" t="inlineStr">
        <is>
          <t>https://guiarsanrafael.com.ar/empresa/punto-de-encuentro-almacen-fiambreria/</t>
        </is>
      </c>
    </row>
    <row r="1466">
      <c r="A1466" s="19" t="n">
        <v>1465</v>
      </c>
      <c r="B1466" s="20" t="inlineStr">
        <is>
          <t>PUNTO Viajes San Rafael</t>
        </is>
      </c>
      <c r="C1466" s="14" t="inlineStr">
        <is>
          <t>Agencia de viajes</t>
        </is>
      </c>
      <c r="D1466" s="14" t="inlineStr">
        <is>
          <t>Agencias de viajes</t>
        </is>
      </c>
      <c r="E1466" s="19" t="n">
        <v>89</v>
      </c>
      <c r="F1466" s="19" t="n">
        <v>7946</v>
      </c>
      <c r="G1466" s="21" t="inlineStr">
        <is>
          <t>https://guiarsanrafael.com.ar/empresa/punto-viajes/</t>
        </is>
      </c>
    </row>
    <row r="1467">
      <c r="A1467" s="22" t="n">
        <v>1466</v>
      </c>
      <c r="B1467" s="23" t="inlineStr">
        <is>
          <t>Pura Vida Gluten Free</t>
        </is>
      </c>
      <c r="C1467" s="12" t="inlineStr">
        <is>
          <t>Dieteticas productos naturales</t>
        </is>
      </c>
      <c r="D1467" s="12" t="inlineStr">
        <is>
          <t>Dieteticas</t>
        </is>
      </c>
      <c r="E1467" s="22" t="n">
        <v>55</v>
      </c>
      <c r="F1467" s="22" t="n">
        <v>9236</v>
      </c>
      <c r="G1467" s="24" t="inlineStr">
        <is>
          <t>https://guiarsanrafael.com.ar/empresa/pura-vida-gluten-free/</t>
        </is>
      </c>
    </row>
    <row r="1468">
      <c r="A1468" s="19" t="n">
        <v>1467</v>
      </c>
      <c r="B1468" s="20" t="inlineStr">
        <is>
          <t>PÉREZ Julio César</t>
        </is>
      </c>
      <c r="C1468" s="14" t="inlineStr">
        <is>
          <t>Escribanias escribanos escribanas mandatario mandataria notarios notarias</t>
        </is>
      </c>
      <c r="D1468" s="14" t="inlineStr">
        <is>
          <t>Escribanias</t>
        </is>
      </c>
      <c r="E1468" s="19" t="n">
        <v>81</v>
      </c>
      <c r="F1468" s="19" t="n">
        <v>8214</v>
      </c>
      <c r="G1468" s="21" t="inlineStr">
        <is>
          <t>https://guiarsanrafael.com.ar/empresa/perez-julio-cesar/</t>
        </is>
      </c>
    </row>
    <row r="1469">
      <c r="A1469" s="22" t="n">
        <v>1468</v>
      </c>
      <c r="B1469" s="23" t="inlineStr">
        <is>
          <t>PÉREZ Julio César</t>
        </is>
      </c>
      <c r="C1469" s="12" t="inlineStr">
        <is>
          <t>Escribanias escribanos escribanas mandatario mandataria notarios notarias</t>
        </is>
      </c>
      <c r="D1469" s="12" t="inlineStr">
        <is>
          <t>Escribanias</t>
        </is>
      </c>
      <c r="E1469" s="22" t="n">
        <v>81</v>
      </c>
      <c r="F1469" s="22" t="n">
        <v>8216</v>
      </c>
      <c r="G1469" s="24" t="inlineStr">
        <is>
          <t>https://guiarsanrafael.com.ar/empresa/perez-julio-cesar-2/</t>
        </is>
      </c>
    </row>
    <row r="1470">
      <c r="A1470" s="19" t="n">
        <v>1469</v>
      </c>
      <c r="B1470" s="20" t="inlineStr">
        <is>
          <t>Quiles Gabriela Belén</t>
        </is>
      </c>
      <c r="C1470" s="14" t="inlineStr">
        <is>
          <t>Abogados abogadas estudios juridicos</t>
        </is>
      </c>
      <c r="D1470" s="14" t="inlineStr">
        <is>
          <t>Abogadas</t>
        </is>
      </c>
      <c r="E1470" s="19" t="n">
        <v>112</v>
      </c>
      <c r="F1470" s="19" t="n">
        <v>7198</v>
      </c>
      <c r="G1470" s="21" t="inlineStr">
        <is>
          <t>https://guiarsanrafael.com.ar/empresa/quiles-gabriela-belen/</t>
        </is>
      </c>
    </row>
    <row r="1471">
      <c r="A1471" s="22" t="n">
        <v>1470</v>
      </c>
      <c r="B1471" s="23" t="inlineStr">
        <is>
          <t>QUIROZ Emilio Rubén S.</t>
        </is>
      </c>
      <c r="C1471" s="12" t="inlineStr">
        <is>
          <t>Escribanias escribanos escribanas mandatario mandataria notarios notarias</t>
        </is>
      </c>
      <c r="D1471" s="12" t="inlineStr">
        <is>
          <t>Escribanias</t>
        </is>
      </c>
      <c r="E1471" s="22" t="n">
        <v>80</v>
      </c>
      <c r="F1471" s="22" t="n">
        <v>8221</v>
      </c>
      <c r="G1471" s="24" t="inlineStr">
        <is>
          <t>https://guiarsanrafael.com.ar/empresa/quiroz-emilio-ruben-s/</t>
        </is>
      </c>
    </row>
    <row r="1472">
      <c r="A1472" s="19" t="n">
        <v>1471</v>
      </c>
      <c r="B1472" s="20" t="inlineStr">
        <is>
          <t>R&amp;CO PAN Panadería Confitería</t>
        </is>
      </c>
      <c r="C1472" s="14" t="inlineStr">
        <is>
          <t>Cafeterias cafe desayunos</t>
        </is>
      </c>
      <c r="D1472" s="14" t="inlineStr">
        <is>
          <t>Confiteria</t>
        </is>
      </c>
      <c r="E1472" s="19" t="n">
        <v>28</v>
      </c>
      <c r="F1472" s="19" t="n">
        <v>11315</v>
      </c>
      <c r="G1472" s="21" t="inlineStr">
        <is>
          <t>https://guiarsanrafael.com.ar/empresa/rco-pan-panaderia-confiteria/</t>
        </is>
      </c>
    </row>
    <row r="1473">
      <c r="A1473" s="22" t="n">
        <v>1472</v>
      </c>
      <c r="B1473" s="23" t="inlineStr">
        <is>
          <t>RADA Andrea Daniela</t>
        </is>
      </c>
      <c r="C1473" s="12" t="inlineStr">
        <is>
          <t>Escribanias escribanos escribanas mandatario mandataria notarios notarias</t>
        </is>
      </c>
      <c r="D1473" s="12" t="inlineStr">
        <is>
          <t>Escribanas</t>
        </is>
      </c>
      <c r="E1473" s="22" t="n">
        <v>80</v>
      </c>
      <c r="F1473" s="22" t="n">
        <v>8222</v>
      </c>
      <c r="G1473" s="24" t="inlineStr">
        <is>
          <t>https://guiarsanrafael.com.ar/empresa/rada-andrea-daniela/</t>
        </is>
      </c>
    </row>
    <row r="1474">
      <c r="A1474" s="19" t="n">
        <v>1473</v>
      </c>
      <c r="B1474" s="20" t="inlineStr">
        <is>
          <t>RADIADORES  Fernández</t>
        </is>
      </c>
      <c r="C1474" s="14" t="inlineStr">
        <is>
          <t>Radiadores repuestos taller</t>
        </is>
      </c>
      <c r="D1474" s="14" t="inlineStr">
        <is>
          <t>(sin ubicación)</t>
        </is>
      </c>
      <c r="E1474" s="19" t="n">
        <v>98</v>
      </c>
      <c r="F1474" s="19" t="n">
        <v>7475</v>
      </c>
      <c r="G1474" s="21" t="inlineStr">
        <is>
          <t>https://guiarsanrafael.com.ar/empresa/radiadores-fernandez/</t>
        </is>
      </c>
    </row>
    <row r="1475">
      <c r="A1475" s="22" t="n">
        <v>1474</v>
      </c>
      <c r="B1475" s="23" t="inlineStr">
        <is>
          <t>RADIADORES MODELO</t>
        </is>
      </c>
      <c r="C1475" s="12" t="inlineStr">
        <is>
          <t>Aire acondicionado</t>
        </is>
      </c>
      <c r="D1475" s="12" t="inlineStr">
        <is>
          <t>Aire acondicionado</t>
        </is>
      </c>
      <c r="E1475" s="22" t="n">
        <v>98</v>
      </c>
      <c r="F1475" s="22" t="n">
        <v>7476</v>
      </c>
      <c r="G1475" s="24" t="inlineStr">
        <is>
          <t>https://guiarsanrafael.com.ar/empresa/radiadores-modelo/</t>
        </is>
      </c>
    </row>
    <row r="1476">
      <c r="A1476" s="19" t="n">
        <v>1475</v>
      </c>
      <c r="B1476" s="20" t="inlineStr">
        <is>
          <t>Raffeish Turismo Aventura</t>
        </is>
      </c>
      <c r="C1476" s="14" t="inlineStr">
        <is>
          <t>Agencia de viajes</t>
        </is>
      </c>
      <c r="D1476" s="14" t="inlineStr">
        <is>
          <t>Agencias de viajes</t>
        </is>
      </c>
      <c r="E1476" s="19" t="n">
        <v>32</v>
      </c>
      <c r="F1476" s="19" t="n">
        <v>10839</v>
      </c>
      <c r="G1476" s="21" t="inlineStr">
        <is>
          <t>https://guiarsanrafael.com.ar/empresa/raffeish-turismo-aventura/</t>
        </is>
      </c>
    </row>
    <row r="1477">
      <c r="A1477" s="22" t="n">
        <v>1476</v>
      </c>
      <c r="B1477" s="23" t="inlineStr">
        <is>
          <t>RAIZ Tienda Saludable</t>
        </is>
      </c>
      <c r="C1477" s="12" t="inlineStr">
        <is>
          <t>Dieteticas productos naturales</t>
        </is>
      </c>
      <c r="D1477" s="12" t="inlineStr">
        <is>
          <t>Almacen celiaco</t>
        </is>
      </c>
      <c r="E1477" s="22" t="n">
        <v>122</v>
      </c>
      <c r="F1477" s="22" t="n">
        <v>6918</v>
      </c>
      <c r="G1477" s="24" t="inlineStr">
        <is>
          <t>https://guiarsanrafael.com.ar/empresa/raiz-tienda-saludable/</t>
        </is>
      </c>
    </row>
    <row r="1478">
      <c r="A1478" s="19" t="n">
        <v>1477</v>
      </c>
      <c r="B1478" s="20" t="inlineStr">
        <is>
          <t>Ralsy Repuestos</t>
        </is>
      </c>
      <c r="C1478" s="14" t="inlineStr">
        <is>
          <t>Repuestos del automotor autopartes</t>
        </is>
      </c>
      <c r="D1478" s="14" t="inlineStr">
        <is>
          <t>Autopartes</t>
        </is>
      </c>
      <c r="E1478" s="19" t="n">
        <v>73</v>
      </c>
      <c r="F1478" s="19" t="n">
        <v>8432</v>
      </c>
      <c r="G1478" s="21" t="inlineStr">
        <is>
          <t>https://guiarsanrafael.com.ar/empresa/ralsy-repuestos/</t>
        </is>
      </c>
    </row>
    <row r="1479">
      <c r="A1479" s="22" t="n">
        <v>1478</v>
      </c>
      <c r="B1479" s="23" t="inlineStr">
        <is>
          <t>RAMIRO PRIETO</t>
        </is>
      </c>
      <c r="C1479" s="12" t="inlineStr">
        <is>
          <t>Cirujanos cirugia</t>
        </is>
      </c>
      <c r="D1479" s="12" t="inlineStr">
        <is>
          <t>Cirujanos</t>
        </is>
      </c>
      <c r="E1479" s="22" t="n">
        <v>161</v>
      </c>
      <c r="F1479" s="22" t="n">
        <v>5237</v>
      </c>
      <c r="G1479" s="24" t="inlineStr">
        <is>
          <t>https://guiarsanrafael.com.ar/empresa/ramiro-prieto/</t>
        </is>
      </c>
    </row>
    <row r="1480">
      <c r="A1480" s="19" t="n">
        <v>1479</v>
      </c>
      <c r="B1480" s="20" t="inlineStr">
        <is>
          <t>Ramos Repuestos Fiat</t>
        </is>
      </c>
      <c r="C1480" s="14" t="inlineStr">
        <is>
          <t>Repuestos del automotor autopartes</t>
        </is>
      </c>
      <c r="D1480" s="14" t="inlineStr">
        <is>
          <t>Autopartes</t>
        </is>
      </c>
      <c r="E1480" s="19" t="n">
        <v>75</v>
      </c>
      <c r="F1480" s="19" t="n">
        <v>8406</v>
      </c>
      <c r="G1480" s="21" t="inlineStr">
        <is>
          <t>https://guiarsanrafael.com.ar/empresa/ramos-repuestos-fiat/</t>
        </is>
      </c>
    </row>
    <row r="1481">
      <c r="A1481" s="22" t="n">
        <v>1480</v>
      </c>
      <c r="B1481" s="23" t="inlineStr">
        <is>
          <t>RAPI PAGO</t>
        </is>
      </c>
      <c r="C1481" s="12" t="inlineStr">
        <is>
          <t>Rapi pago</t>
        </is>
      </c>
      <c r="D1481" s="12" t="inlineStr">
        <is>
          <t>Pagofacil</t>
        </is>
      </c>
      <c r="E1481" s="22" t="n">
        <v>172</v>
      </c>
      <c r="F1481" s="22" t="n">
        <v>4309</v>
      </c>
      <c r="G1481" s="24" t="inlineStr">
        <is>
          <t>https://guiarsanrafael.com.ar/empresa/rapi-pago/</t>
        </is>
      </c>
    </row>
    <row r="1482">
      <c r="A1482" s="19" t="n">
        <v>1481</v>
      </c>
      <c r="B1482" s="20" t="inlineStr">
        <is>
          <t>Raposeiras Gabriela Gisel</t>
        </is>
      </c>
      <c r="C1482" s="14" t="inlineStr">
        <is>
          <t>Abogados abogadas estudios juridicos</t>
        </is>
      </c>
      <c r="D1482" s="14" t="inlineStr">
        <is>
          <t>Abogadas</t>
        </is>
      </c>
      <c r="E1482" s="19" t="n">
        <v>113</v>
      </c>
      <c r="F1482" s="19" t="n">
        <v>7190</v>
      </c>
      <c r="G1482" s="21" t="inlineStr">
        <is>
          <t>https://guiarsanrafael.com.ar/empresa/raposeiras-gabriela-gisel/</t>
        </is>
      </c>
    </row>
    <row r="1483">
      <c r="A1483" s="22" t="n">
        <v>1482</v>
      </c>
      <c r="B1483" s="23" t="inlineStr">
        <is>
          <t>RAUL GARAVAGLIA</t>
        </is>
      </c>
      <c r="C1483" s="12" t="inlineStr">
        <is>
          <t>Odontologia</t>
        </is>
      </c>
      <c r="D1483" s="12" t="inlineStr">
        <is>
          <t>Odontologia</t>
        </is>
      </c>
      <c r="E1483" s="22" t="n">
        <v>103</v>
      </c>
      <c r="F1483" s="22" t="n">
        <v>7383</v>
      </c>
      <c r="G1483" s="24" t="inlineStr">
        <is>
          <t>https://guiarsanrafael.com.ar/empresa/raul-garavaglia/</t>
        </is>
      </c>
    </row>
    <row r="1484">
      <c r="A1484" s="19" t="n">
        <v>1483</v>
      </c>
      <c r="B1484" s="20" t="inlineStr">
        <is>
          <t>RAULINA MAÑAS</t>
        </is>
      </c>
      <c r="C1484" s="14" t="inlineStr">
        <is>
          <t>Abogados abogadas estudios juridicos</t>
        </is>
      </c>
      <c r="D1484" s="14" t="inlineStr">
        <is>
          <t>Abogados</t>
        </is>
      </c>
      <c r="E1484" s="19" t="n">
        <v>179</v>
      </c>
      <c r="F1484" s="19" t="n">
        <v>4014</v>
      </c>
      <c r="G1484" s="21" t="inlineStr">
        <is>
          <t>https://guiarsanrafael.com.ar/empresa/raulina-manas/</t>
        </is>
      </c>
    </row>
    <row r="1485">
      <c r="A1485" s="22" t="n">
        <v>1484</v>
      </c>
      <c r="B1485" s="23" t="inlineStr">
        <is>
          <t>Rawson Bar</t>
        </is>
      </c>
      <c r="C1485" s="12" t="inlineStr">
        <is>
          <t>Bares cocteleria</t>
        </is>
      </c>
      <c r="D1485" s="12" t="inlineStr">
        <is>
          <t>Restaurantes</t>
        </is>
      </c>
      <c r="E1485" s="22" t="n">
        <v>36</v>
      </c>
      <c r="F1485" s="22" t="n">
        <v>10267</v>
      </c>
      <c r="G1485" s="24" t="inlineStr">
        <is>
          <t>https://guiarsanrafael.com.ar/empresa/rawson-bar/</t>
        </is>
      </c>
    </row>
    <row r="1486">
      <c r="A1486" s="19" t="n">
        <v>1485</v>
      </c>
      <c r="B1486" s="20" t="inlineStr">
        <is>
          <t>RAWSON Negocios Inmobiliarios</t>
        </is>
      </c>
      <c r="C1486" s="14" t="inlineStr">
        <is>
          <t>Administraciones alquileres inmobiliarias</t>
        </is>
      </c>
      <c r="D1486" s="14" t="inlineStr">
        <is>
          <t>Administraciones</t>
        </is>
      </c>
      <c r="E1486" s="19" t="n">
        <v>9</v>
      </c>
      <c r="F1486" s="19" t="n">
        <v>13835</v>
      </c>
      <c r="G1486" s="21" t="inlineStr">
        <is>
          <t>https://guiarsanrafael.com.ar/empresa/rawson-negocios-inmobiliarios/</t>
        </is>
      </c>
    </row>
    <row r="1487">
      <c r="A1487" s="22" t="n">
        <v>1486</v>
      </c>
      <c r="B1487" s="23" t="inlineStr">
        <is>
          <t>RAYOS DE LUZ Óptica</t>
        </is>
      </c>
      <c r="C1487" s="12" t="inlineStr">
        <is>
          <t>Opticas contactologia</t>
        </is>
      </c>
      <c r="D1487" s="12" t="inlineStr">
        <is>
          <t>Opticas contactologia</t>
        </is>
      </c>
      <c r="E1487" s="22" t="n">
        <v>20</v>
      </c>
      <c r="F1487" s="22" t="n">
        <v>12206</v>
      </c>
      <c r="G1487" s="24" t="inlineStr">
        <is>
          <t>https://guiarsanrafael.com.ar/empresa/rayo-de-luz-optica/</t>
        </is>
      </c>
    </row>
    <row r="1488">
      <c r="A1488" s="19" t="n">
        <v>1487</v>
      </c>
      <c r="B1488" s="20" t="inlineStr">
        <is>
          <t>RC Repuestos Competición</t>
        </is>
      </c>
      <c r="C1488" s="14" t="inlineStr">
        <is>
          <t>Electricidad del automotor</t>
        </is>
      </c>
      <c r="D1488" s="14" t="inlineStr">
        <is>
          <t>Autopartes</t>
        </is>
      </c>
      <c r="E1488" s="19" t="n">
        <v>75</v>
      </c>
      <c r="F1488" s="19" t="n">
        <v>8407</v>
      </c>
      <c r="G1488" s="21" t="inlineStr">
        <is>
          <t>https://guiarsanrafael.com.ar/empresa/rc-repuestos-competicion/</t>
        </is>
      </c>
    </row>
    <row r="1489">
      <c r="A1489" s="22" t="n">
        <v>1488</v>
      </c>
      <c r="B1489" s="23" t="inlineStr">
        <is>
          <t>RD FERRETERIA</t>
        </is>
      </c>
      <c r="C1489" s="12" t="inlineStr">
        <is>
          <t>Ferreterias herramientas</t>
        </is>
      </c>
      <c r="D1489" s="12" t="inlineStr">
        <is>
          <t>Ferreterias</t>
        </is>
      </c>
      <c r="E1489" s="22" t="n">
        <v>22</v>
      </c>
      <c r="F1489" s="22" t="n">
        <v>11971</v>
      </c>
      <c r="G1489" s="24" t="inlineStr">
        <is>
          <t>https://guiarsanrafael.com.ar/empresa/rd-ferreteria/</t>
        </is>
      </c>
    </row>
    <row r="1490">
      <c r="A1490" s="19" t="n">
        <v>1489</v>
      </c>
      <c r="B1490" s="20" t="inlineStr">
        <is>
          <t>Re-Cam-Fi</t>
        </is>
      </c>
      <c r="C1490" s="14" t="inlineStr">
        <is>
          <t>Repuestos de camiones</t>
        </is>
      </c>
      <c r="D1490" s="14" t="inlineStr">
        <is>
          <t>Autopartes</t>
        </is>
      </c>
      <c r="E1490" s="19" t="n">
        <v>182</v>
      </c>
      <c r="F1490" s="19" t="n">
        <v>8439</v>
      </c>
      <c r="G1490" s="21" t="inlineStr">
        <is>
          <t>https://guiarsanrafael.com.ar/empresa/re-cam-fi/</t>
        </is>
      </c>
    </row>
    <row r="1491">
      <c r="A1491" s="22" t="n">
        <v>1490</v>
      </c>
      <c r="B1491" s="23" t="inlineStr">
        <is>
          <t>Rebolloso María Celeste</t>
        </is>
      </c>
      <c r="C1491" s="12" t="inlineStr">
        <is>
          <t>Abogados abogadas estudios juridicos</t>
        </is>
      </c>
      <c r="D1491" s="12" t="inlineStr">
        <is>
          <t>Abogadas</t>
        </is>
      </c>
      <c r="E1491" s="22" t="n">
        <v>111</v>
      </c>
      <c r="F1491" s="22" t="n">
        <v>7210</v>
      </c>
      <c r="G1491" s="24" t="inlineStr">
        <is>
          <t>https://guiarsanrafael.com.ar/empresa/rebolloso-maria-celeste/</t>
        </is>
      </c>
    </row>
    <row r="1492">
      <c r="A1492" s="19" t="n">
        <v>1491</v>
      </c>
      <c r="B1492" s="20" t="inlineStr">
        <is>
          <t>Reche Amoblamientos</t>
        </is>
      </c>
      <c r="C1492" s="14" t="inlineStr">
        <is>
          <t>Mueblerias muebles de oficina</t>
        </is>
      </c>
      <c r="D1492" s="14" t="inlineStr">
        <is>
          <t>Mueblerias</t>
        </is>
      </c>
      <c r="E1492" s="19" t="n">
        <v>17</v>
      </c>
      <c r="F1492" s="19" t="n">
        <v>12566</v>
      </c>
      <c r="G1492" s="21" t="inlineStr">
        <is>
          <t>https://guiarsanrafael.com.ar/empresa/reche-amoblamientos/</t>
        </is>
      </c>
    </row>
    <row r="1493">
      <c r="A1493" s="22" t="n">
        <v>1492</v>
      </c>
      <c r="B1493" s="23" t="inlineStr">
        <is>
          <t>Reche Muebles</t>
        </is>
      </c>
      <c r="C1493" s="12" t="inlineStr">
        <is>
          <t>Mueblerias muebles de oficina</t>
        </is>
      </c>
      <c r="D1493" s="12" t="inlineStr">
        <is>
          <t>Mueblerias</t>
        </is>
      </c>
      <c r="E1493" s="22" t="n">
        <v>17</v>
      </c>
      <c r="F1493" s="22" t="n">
        <v>12560</v>
      </c>
      <c r="G1493" s="24" t="inlineStr">
        <is>
          <t>https://guiarsanrafael.com.ar/empresa/reche-muebles/</t>
        </is>
      </c>
    </row>
    <row r="1494">
      <c r="A1494" s="19" t="n">
        <v>1493</v>
      </c>
      <c r="B1494" s="20" t="inlineStr">
        <is>
          <t>RECTIFICACIONES REBOLLOSO</t>
        </is>
      </c>
      <c r="C1494" s="14" t="inlineStr">
        <is>
          <t>Rectificaciones rectificadoras</t>
        </is>
      </c>
      <c r="D1494" s="14" t="inlineStr">
        <is>
          <t>Rectificaciones</t>
        </is>
      </c>
      <c r="E1494" s="19" t="n">
        <v>98</v>
      </c>
      <c r="F1494" s="19" t="n">
        <v>7502</v>
      </c>
      <c r="G1494" s="21" t="inlineStr">
        <is>
          <t>https://guiarsanrafael.com.ar/empresa/7502/</t>
        </is>
      </c>
    </row>
    <row r="1495">
      <c r="A1495" s="22" t="n">
        <v>1494</v>
      </c>
      <c r="B1495" s="23" t="inlineStr">
        <is>
          <t>RECTIFICADORA 9 DE JULIO</t>
        </is>
      </c>
      <c r="C1495" s="12" t="inlineStr">
        <is>
          <t>Rectificaciones rectificadoras</t>
        </is>
      </c>
      <c r="D1495" s="12" t="inlineStr">
        <is>
          <t>Mecanica del automotor</t>
        </is>
      </c>
      <c r="E1495" s="22" t="n">
        <v>121</v>
      </c>
      <c r="F1495" s="22" t="n">
        <v>6981</v>
      </c>
      <c r="G1495" s="24" t="inlineStr">
        <is>
          <t>https://guiarsanrafael.com.ar/empresa/rectificadora-9-de-julio/</t>
        </is>
      </c>
    </row>
    <row r="1496">
      <c r="A1496" s="19" t="n">
        <v>1495</v>
      </c>
      <c r="B1496" s="20" t="inlineStr">
        <is>
          <t>REGALAME Juguetería</t>
        </is>
      </c>
      <c r="C1496" s="14" t="inlineStr">
        <is>
          <t>Jugueterias regaleria</t>
        </is>
      </c>
      <c r="D1496" s="14" t="inlineStr">
        <is>
          <t>Jugueteria</t>
        </is>
      </c>
      <c r="E1496" s="19" t="n">
        <v>162</v>
      </c>
      <c r="F1496" s="19" t="n">
        <v>5156</v>
      </c>
      <c r="G1496" s="21" t="inlineStr">
        <is>
          <t>https://guiarsanrafael.com.ar/empresa/regalame-jugueteria/</t>
        </is>
      </c>
    </row>
    <row r="1497">
      <c r="A1497" s="22" t="n">
        <v>1496</v>
      </c>
      <c r="B1497" s="23" t="inlineStr">
        <is>
          <t>Regina Gigón</t>
        </is>
      </c>
      <c r="C1497" s="12" t="inlineStr">
        <is>
          <t>Nutricion nutricionistas</t>
        </is>
      </c>
      <c r="D1497" s="12" t="inlineStr">
        <is>
          <t>Nutricionistas</t>
        </is>
      </c>
      <c r="E1497" s="22" t="n">
        <v>149</v>
      </c>
      <c r="F1497" s="22" t="n">
        <v>5426</v>
      </c>
      <c r="G1497" s="24" t="inlineStr">
        <is>
          <t>https://guiarsanrafael.com.ar/empresa/regina-gigon/</t>
        </is>
      </c>
    </row>
    <row r="1498">
      <c r="A1498" s="19" t="n">
        <v>1497</v>
      </c>
      <c r="B1498" s="20" t="inlineStr">
        <is>
          <t>REGIONAL MARKET San Rafael</t>
        </is>
      </c>
      <c r="C1498" s="14" t="inlineStr">
        <is>
          <t>Cosmetica cosmetologia cosmetologa cosmiatra</t>
        </is>
      </c>
      <c r="D1498" s="14" t="inlineStr">
        <is>
          <t>Cosmetica perfumeria</t>
        </is>
      </c>
      <c r="E1498" s="19" t="n">
        <v>7</v>
      </c>
      <c r="F1498" s="19" t="n">
        <v>14164</v>
      </c>
      <c r="G1498" s="21" t="inlineStr">
        <is>
          <t>https://guiarsanrafael.com.ar/empresa/regional-market-san-rafael/</t>
        </is>
      </c>
    </row>
    <row r="1499">
      <c r="A1499" s="22" t="n">
        <v>1498</v>
      </c>
      <c r="B1499" s="23" t="inlineStr">
        <is>
          <t>Regionales Antú Cayén</t>
        </is>
      </c>
      <c r="C1499" s="12" t="inlineStr">
        <is>
          <t>Artesanias</t>
        </is>
      </c>
      <c r="D1499" s="12" t="inlineStr">
        <is>
          <t>Artesanias</t>
        </is>
      </c>
      <c r="E1499" s="22" t="n">
        <v>53</v>
      </c>
      <c r="F1499" s="22" t="n">
        <v>9277</v>
      </c>
      <c r="G1499" s="24" t="inlineStr">
        <is>
          <t>https://guiarsanrafael.com.ar/empresa/regionales-antu-cayen/</t>
        </is>
      </c>
    </row>
    <row r="1500">
      <c r="A1500" s="19" t="n">
        <v>1499</v>
      </c>
      <c r="B1500" s="20" t="inlineStr">
        <is>
          <t>REGIONALES LOS MELLIS</t>
        </is>
      </c>
      <c r="C1500" s="14" t="inlineStr">
        <is>
          <t>Aceite de oliva</t>
        </is>
      </c>
      <c r="D1500" s="14" t="inlineStr">
        <is>
          <t>Aceite de oliva</t>
        </is>
      </c>
      <c r="E1500" s="19" t="n">
        <v>28</v>
      </c>
      <c r="F1500" s="19" t="n">
        <v>11357</v>
      </c>
      <c r="G1500" s="21" t="inlineStr">
        <is>
          <t>https://guiarsanrafael.com.ar/empresa/regionales-los-mellis/</t>
        </is>
      </c>
    </row>
    <row r="1501">
      <c r="A1501" s="22" t="n">
        <v>1500</v>
      </c>
      <c r="B1501" s="23" t="inlineStr">
        <is>
          <t>Regionales Los Patacones</t>
        </is>
      </c>
      <c r="C1501" s="12" t="inlineStr">
        <is>
          <t>Artesanias</t>
        </is>
      </c>
      <c r="D1501" s="12" t="inlineStr">
        <is>
          <t>Artesanias</t>
        </is>
      </c>
      <c r="E1501" s="22" t="n">
        <v>53</v>
      </c>
      <c r="F1501" s="22" t="n">
        <v>9276</v>
      </c>
      <c r="G1501" s="24" t="inlineStr">
        <is>
          <t>https://guiarsanrafael.com.ar/empresa/regionales-los-patacones/</t>
        </is>
      </c>
    </row>
    <row r="1502">
      <c r="A1502" s="19" t="n">
        <v>1501</v>
      </c>
      <c r="B1502" s="20" t="inlineStr">
        <is>
          <t>REHACTIVA Instituto Terapéutico de Rehabilitación</t>
        </is>
      </c>
      <c r="C1502" s="14" t="inlineStr">
        <is>
          <t>Centro de rehabilitacion</t>
        </is>
      </c>
      <c r="D1502" s="14" t="inlineStr">
        <is>
          <t>Centro de rehabilitacion</t>
        </is>
      </c>
      <c r="E1502" s="19" t="n">
        <v>10</v>
      </c>
      <c r="F1502" s="19" t="n">
        <v>13690</v>
      </c>
      <c r="G1502" s="21" t="inlineStr">
        <is>
          <t>https://guiarsanrafael.com.ar/empresa/rehactiva-instituto-terapeutico-de-rehabilitacion-2/</t>
        </is>
      </c>
    </row>
    <row r="1503">
      <c r="A1503" s="22" t="n">
        <v>1502</v>
      </c>
      <c r="B1503" s="23" t="inlineStr">
        <is>
          <t>REHACTIVA Instituto Terapéutico de Rehabilitación</t>
        </is>
      </c>
      <c r="C1503" s="12" t="inlineStr">
        <is>
          <t>Centro de rehabilitacion</t>
        </is>
      </c>
      <c r="D1503" s="12" t="inlineStr">
        <is>
          <t>Centro de rehabilitacion</t>
        </is>
      </c>
      <c r="E1503" s="22" t="n">
        <v>10</v>
      </c>
      <c r="F1503" s="22" t="n">
        <v>13691</v>
      </c>
      <c r="G1503" s="24" t="inlineStr">
        <is>
          <t>https://guiarsanrafael.com.ar/empresa/rehactiva-instituto-terapeutico-de-rehabilitacion/</t>
        </is>
      </c>
    </row>
    <row r="1504">
      <c r="A1504" s="19" t="n">
        <v>1503</v>
      </c>
      <c r="B1504" s="20" t="inlineStr">
        <is>
          <t>RENTA BIKE San Rafael</t>
        </is>
      </c>
      <c r="C1504" s="14" t="inlineStr">
        <is>
          <t>Alquiler de autos</t>
        </is>
      </c>
      <c r="D1504" s="14" t="inlineStr">
        <is>
          <t>Alquiler de autos</t>
        </is>
      </c>
      <c r="E1504" s="19" t="n">
        <v>30</v>
      </c>
      <c r="F1504" s="19" t="n">
        <v>11091</v>
      </c>
      <c r="G1504" s="21" t="inlineStr">
        <is>
          <t>https://guiarsanrafael.com.ar/empresa/renta-bike-san-rafael/</t>
        </is>
      </c>
    </row>
    <row r="1505">
      <c r="A1505" s="22" t="n">
        <v>1504</v>
      </c>
      <c r="B1505" s="23" t="inlineStr">
        <is>
          <t>RENTACAR SUR</t>
        </is>
      </c>
      <c r="C1505" s="12" t="inlineStr">
        <is>
          <t>Alquiler de autos</t>
        </is>
      </c>
      <c r="D1505" s="12" t="inlineStr">
        <is>
          <t>Alquiler de autos</t>
        </is>
      </c>
      <c r="E1505" s="22" t="n">
        <v>18</v>
      </c>
      <c r="F1505" s="22" t="n">
        <v>12506</v>
      </c>
      <c r="G1505" s="24" t="inlineStr">
        <is>
          <t>https://guiarsanrafael.com.ar/empresa/rentacar-sur/</t>
        </is>
      </c>
    </row>
    <row r="1506">
      <c r="A1506" s="19" t="n">
        <v>1505</v>
      </c>
      <c r="B1506" s="20" t="inlineStr">
        <is>
          <t>REPUESTOS ALEAGA</t>
        </is>
      </c>
      <c r="C1506" s="14" t="inlineStr">
        <is>
          <t>Repuestos del automotor autopartes</t>
        </is>
      </c>
      <c r="D1506" s="14" t="inlineStr">
        <is>
          <t>Repuestos del automotor</t>
        </is>
      </c>
      <c r="E1506" s="19" t="n">
        <v>75</v>
      </c>
      <c r="F1506" s="19" t="n">
        <v>8401</v>
      </c>
      <c r="G1506" s="21" t="inlineStr">
        <is>
          <t>https://guiarsanrafael.com.ar/empresa/repuestos-aleaga/</t>
        </is>
      </c>
    </row>
    <row r="1507">
      <c r="A1507" s="22" t="n">
        <v>1506</v>
      </c>
      <c r="B1507" s="23" t="inlineStr">
        <is>
          <t>Repuestos Detroit</t>
        </is>
      </c>
      <c r="C1507" s="12" t="inlineStr">
        <is>
          <t>Repuestos del automotor autopartes</t>
        </is>
      </c>
      <c r="D1507" s="12" t="inlineStr">
        <is>
          <t>Autopartes</t>
        </is>
      </c>
      <c r="E1507" s="22" t="n">
        <v>74</v>
      </c>
      <c r="F1507" s="22" t="n">
        <v>8426</v>
      </c>
      <c r="G1507" s="24" t="inlineStr">
        <is>
          <t>https://guiarsanrafael.com.ar/empresa/repuestos-detroit/</t>
        </is>
      </c>
    </row>
    <row r="1508">
      <c r="A1508" s="19" t="n">
        <v>1507</v>
      </c>
      <c r="B1508" s="20" t="inlineStr">
        <is>
          <t>Repuestos Fatmax</t>
        </is>
      </c>
      <c r="C1508" s="14" t="inlineStr">
        <is>
          <t>Repuestos del automotor autopartes</t>
        </is>
      </c>
      <c r="D1508" s="14" t="inlineStr">
        <is>
          <t>Autopartes</t>
        </is>
      </c>
      <c r="E1508" s="19" t="n">
        <v>75</v>
      </c>
      <c r="F1508" s="19" t="n">
        <v>8408</v>
      </c>
      <c r="G1508" s="21" t="inlineStr">
        <is>
          <t>https://guiarsanrafael.com.ar/empresa/repuestos-fatmax/</t>
        </is>
      </c>
    </row>
    <row r="1509">
      <c r="A1509" s="22" t="n">
        <v>1508</v>
      </c>
      <c r="B1509" s="23" t="inlineStr">
        <is>
          <t>Repuestos Juan Carlos</t>
        </is>
      </c>
      <c r="C1509" s="12" t="inlineStr">
        <is>
          <t>Electrodomesticos repuestos</t>
        </is>
      </c>
      <c r="D1509" s="12" t="inlineStr">
        <is>
          <t>Repuestos de electrodomesticos</t>
        </is>
      </c>
      <c r="E1509" s="22" t="n">
        <v>75</v>
      </c>
      <c r="F1509" s="22" t="n">
        <v>8421</v>
      </c>
      <c r="G1509" s="24" t="inlineStr">
        <is>
          <t>https://guiarsanrafael.com.ar/empresa/8421/</t>
        </is>
      </c>
    </row>
    <row r="1510">
      <c r="A1510" s="19" t="n">
        <v>1509</v>
      </c>
      <c r="B1510" s="20" t="inlineStr">
        <is>
          <t>Repuestos Ruben</t>
        </is>
      </c>
      <c r="C1510" s="14" t="inlineStr">
        <is>
          <t>Repuestos del automotor autopartes</t>
        </is>
      </c>
      <c r="D1510" s="14" t="inlineStr">
        <is>
          <t>Repuestos del automotor</t>
        </is>
      </c>
      <c r="E1510" s="19" t="n">
        <v>76</v>
      </c>
      <c r="F1510" s="19" t="n">
        <v>8397</v>
      </c>
      <c r="G1510" s="21" t="inlineStr">
        <is>
          <t>https://guiarsanrafael.com.ar/empresa/repuestos-ruben/</t>
        </is>
      </c>
    </row>
    <row r="1511">
      <c r="A1511" s="22" t="n">
        <v>1510</v>
      </c>
      <c r="B1511" s="23" t="inlineStr">
        <is>
          <t>Repuestos Sarmiento</t>
        </is>
      </c>
      <c r="C1511" s="12" t="inlineStr">
        <is>
          <t>Autopartes</t>
        </is>
      </c>
      <c r="D1511" s="12" t="inlineStr">
        <is>
          <t>Autopartes</t>
        </is>
      </c>
      <c r="E1511" s="22" t="n">
        <v>76</v>
      </c>
      <c r="F1511" s="22" t="n">
        <v>8393</v>
      </c>
      <c r="G1511" s="24" t="inlineStr">
        <is>
          <t>https://guiarsanrafael.com.ar/empresa/repuestos-sarmiento/</t>
        </is>
      </c>
    </row>
    <row r="1512">
      <c r="A1512" s="19" t="n">
        <v>1511</v>
      </c>
      <c r="B1512" s="20" t="inlineStr">
        <is>
          <t>Repullés María Victoria</t>
        </is>
      </c>
      <c r="C1512" s="14" t="inlineStr">
        <is>
          <t>Abogados abogadas estudios juridicos</t>
        </is>
      </c>
      <c r="D1512" s="14" t="inlineStr">
        <is>
          <t>Abogadas</t>
        </is>
      </c>
      <c r="E1512" s="19" t="n">
        <v>107</v>
      </c>
      <c r="F1512" s="19" t="n">
        <v>7268</v>
      </c>
      <c r="G1512" s="21" t="inlineStr">
        <is>
          <t>https://guiarsanrafael.com.ar/empresa/repulles-maria-victoria/</t>
        </is>
      </c>
    </row>
    <row r="1513">
      <c r="A1513" s="22" t="n">
        <v>1512</v>
      </c>
      <c r="B1513" s="23" t="inlineStr">
        <is>
          <t>Restaurante Nina</t>
        </is>
      </c>
      <c r="C1513" s="12" t="inlineStr">
        <is>
          <t>Restaurantes parrilas</t>
        </is>
      </c>
      <c r="D1513" s="12" t="inlineStr">
        <is>
          <t>Restaurantes</t>
        </is>
      </c>
      <c r="E1513" s="22" t="n">
        <v>37</v>
      </c>
      <c r="F1513" s="22" t="n">
        <v>10265</v>
      </c>
      <c r="G1513" s="24" t="inlineStr">
        <is>
          <t>https://guiarsanrafael.com.ar/empresa/restaurante-nina/</t>
        </is>
      </c>
    </row>
    <row r="1514">
      <c r="A1514" s="19" t="n">
        <v>1513</v>
      </c>
      <c r="B1514" s="20" t="inlineStr">
        <is>
          <t>RICARDO CENTENO</t>
        </is>
      </c>
      <c r="C1514" s="14" t="inlineStr">
        <is>
          <t>Odontologia</t>
        </is>
      </c>
      <c r="D1514" s="14" t="inlineStr">
        <is>
          <t>Odontologia</t>
        </is>
      </c>
      <c r="E1514" s="19" t="n">
        <v>104</v>
      </c>
      <c r="F1514" s="19" t="n">
        <v>7374</v>
      </c>
      <c r="G1514" s="21" t="inlineStr">
        <is>
          <t>https://guiarsanrafael.com.ar/empresa/ricardo-centeno/</t>
        </is>
      </c>
    </row>
    <row r="1515">
      <c r="A1515" s="22" t="n">
        <v>1514</v>
      </c>
      <c r="B1515" s="23" t="inlineStr">
        <is>
          <t>RICARDO LAZARO</t>
        </is>
      </c>
      <c r="C1515" s="12" t="inlineStr">
        <is>
          <t>Odontologia</t>
        </is>
      </c>
      <c r="D1515" s="12" t="inlineStr">
        <is>
          <t>Implantes</t>
        </is>
      </c>
      <c r="E1515" s="22" t="n">
        <v>120</v>
      </c>
      <c r="F1515" s="22" t="n">
        <v>7092</v>
      </c>
      <c r="G1515" s="24" t="inlineStr">
        <is>
          <t>https://guiarsanrafael.com.ar/empresa/ricardo-lazaro/</t>
        </is>
      </c>
    </row>
    <row r="1516">
      <c r="A1516" s="19" t="n">
        <v>1515</v>
      </c>
      <c r="B1516" s="20" t="inlineStr">
        <is>
          <t>RICARDO TROYANO</t>
        </is>
      </c>
      <c r="C1516" s="14" t="inlineStr">
        <is>
          <t>Traumatologia y ortopedia</t>
        </is>
      </c>
      <c r="D1516" s="14" t="inlineStr">
        <is>
          <t>Traumatologia</t>
        </is>
      </c>
      <c r="E1516" s="19" t="n">
        <v>141</v>
      </c>
      <c r="F1516" s="19" t="n">
        <v>5541</v>
      </c>
      <c r="G1516" s="21" t="inlineStr">
        <is>
          <t>https://guiarsanrafael.com.ar/empresa/troyano-ricardo/</t>
        </is>
      </c>
    </row>
    <row r="1517">
      <c r="A1517" s="22" t="n">
        <v>1516</v>
      </c>
      <c r="B1517" s="23" t="inlineStr">
        <is>
          <t>RICAS Pastas Artesanales</t>
        </is>
      </c>
      <c r="C1517" s="12" t="inlineStr">
        <is>
          <t>Fabrica de pastas</t>
        </is>
      </c>
      <c r="D1517" s="12" t="inlineStr">
        <is>
          <t>Fabrica de pastas</t>
        </is>
      </c>
      <c r="E1517" s="22" t="n">
        <v>40</v>
      </c>
      <c r="F1517" s="22" t="n">
        <v>10081</v>
      </c>
      <c r="G1517" s="24" t="inlineStr">
        <is>
          <t>https://guiarsanrafael.com.ar/empresa/ricas-pastas-artesanales/</t>
        </is>
      </c>
    </row>
    <row r="1518">
      <c r="A1518" s="19" t="n">
        <v>1517</v>
      </c>
      <c r="B1518" s="20" t="inlineStr">
        <is>
          <t>RICITOS Productos Capilares</t>
        </is>
      </c>
      <c r="C1518" s="14" t="inlineStr">
        <is>
          <t>Cosmetica cosmetologia cosmetologa cosmiatra</t>
        </is>
      </c>
      <c r="D1518" s="14" t="inlineStr">
        <is>
          <t>Cosmetica perfumeria</t>
        </is>
      </c>
      <c r="E1518" s="19" t="n">
        <v>41</v>
      </c>
      <c r="F1518" s="19" t="n">
        <v>9972</v>
      </c>
      <c r="G1518" s="21" t="inlineStr">
        <is>
          <t>https://guiarsanrafael.com.ar/empresa/ricitos-productos-capilares/</t>
        </is>
      </c>
    </row>
    <row r="1519">
      <c r="A1519" s="22" t="n">
        <v>1518</v>
      </c>
      <c r="B1519" s="23" t="inlineStr">
        <is>
          <t>RIO AZUL Cabañas y Camping</t>
        </is>
      </c>
      <c r="C1519" s="12" t="inlineStr">
        <is>
          <t>Cabanas alquiler</t>
        </is>
      </c>
      <c r="D1519" s="12" t="inlineStr">
        <is>
          <t>Alojamientos</t>
        </is>
      </c>
      <c r="E1519" s="22" t="n">
        <v>90</v>
      </c>
      <c r="F1519" s="22" t="n">
        <v>7876</v>
      </c>
      <c r="G1519" s="24" t="inlineStr">
        <is>
          <t>https://guiarsanrafael.com.ar/empresa/rio-azul-cabanas-y-camping/</t>
        </is>
      </c>
    </row>
    <row r="1520">
      <c r="A1520" s="19" t="n">
        <v>1519</v>
      </c>
      <c r="B1520" s="20" t="inlineStr">
        <is>
          <t>RISSO Propiedades</t>
        </is>
      </c>
      <c r="C1520" s="14" t="inlineStr">
        <is>
          <t>Administraciones alquileres inmobiliarias</t>
        </is>
      </c>
      <c r="D1520" s="14" t="inlineStr">
        <is>
          <t>Administraciones</t>
        </is>
      </c>
      <c r="E1520" s="19" t="n">
        <v>95</v>
      </c>
      <c r="F1520" s="19" t="n">
        <v>7708</v>
      </c>
      <c r="G1520" s="21" t="inlineStr">
        <is>
          <t>https://guiarsanrafael.com.ar/empresa/7708/</t>
        </is>
      </c>
    </row>
    <row r="1521">
      <c r="A1521" s="22" t="n">
        <v>1520</v>
      </c>
      <c r="B1521" s="23" t="inlineStr">
        <is>
          <t>Rivamar Federico Andrés</t>
        </is>
      </c>
      <c r="C1521" s="12" t="inlineStr">
        <is>
          <t>Abogados abogadas estudios juridicos</t>
        </is>
      </c>
      <c r="D1521" s="12" t="inlineStr">
        <is>
          <t>Abogados</t>
        </is>
      </c>
      <c r="E1521" s="22" t="n">
        <v>108</v>
      </c>
      <c r="F1521" s="22" t="n">
        <v>7251</v>
      </c>
      <c r="G1521" s="24" t="inlineStr">
        <is>
          <t>https://guiarsanrafael.com.ar/empresa/rivamar-federico-andres/</t>
        </is>
      </c>
    </row>
    <row r="1522">
      <c r="A1522" s="19" t="n">
        <v>1521</v>
      </c>
      <c r="B1522" s="20" t="inlineStr">
        <is>
          <t>Rivero Gonzalez Romina Soledad</t>
        </is>
      </c>
      <c r="C1522" s="14" t="inlineStr">
        <is>
          <t>Abogados abogadas estudios juridicos</t>
        </is>
      </c>
      <c r="D1522" s="14" t="inlineStr">
        <is>
          <t>Abogadas</t>
        </is>
      </c>
      <c r="E1522" s="19" t="n">
        <v>114</v>
      </c>
      <c r="F1522" s="19" t="n">
        <v>7178</v>
      </c>
      <c r="G1522" s="21" t="inlineStr">
        <is>
          <t>https://guiarsanrafael.com.ar/empresa/rivero-gonzalez-romina-soledad/</t>
        </is>
      </c>
    </row>
    <row r="1523">
      <c r="A1523" s="22" t="n">
        <v>1522</v>
      </c>
      <c r="B1523" s="23" t="inlineStr">
        <is>
          <t>RL AUTOMOTORES</t>
        </is>
      </c>
      <c r="C1523" s="12" t="inlineStr">
        <is>
          <t>Agencia de autos automotores</t>
        </is>
      </c>
      <c r="D1523" s="12" t="inlineStr">
        <is>
          <t>Agencia de autos</t>
        </is>
      </c>
      <c r="E1523" s="22" t="n">
        <v>89</v>
      </c>
      <c r="F1523" s="22" t="n">
        <v>7928</v>
      </c>
      <c r="G1523" s="24" t="inlineStr">
        <is>
          <t>https://guiarsanrafael.com.ar/empresa/rl-automotores/</t>
        </is>
      </c>
    </row>
    <row r="1524">
      <c r="A1524" s="19" t="n">
        <v>1523</v>
      </c>
      <c r="B1524" s="20" t="inlineStr">
        <is>
          <t>RM Ramiro Motos</t>
        </is>
      </c>
      <c r="C1524" s="14" t="inlineStr">
        <is>
          <t>Repuestos de motos</t>
        </is>
      </c>
      <c r="D1524" s="14" t="inlineStr">
        <is>
          <t>Accesorios para motos</t>
        </is>
      </c>
      <c r="E1524" s="19" t="n">
        <v>72</v>
      </c>
      <c r="F1524" s="19" t="n">
        <v>8454</v>
      </c>
      <c r="G1524" s="21" t="inlineStr">
        <is>
          <t>https://guiarsanrafael.com.ar/empresa/rm-ramiro-motos/</t>
        </is>
      </c>
    </row>
    <row r="1525">
      <c r="A1525" s="22" t="n">
        <v>1524</v>
      </c>
      <c r="B1525" s="23" t="inlineStr">
        <is>
          <t>ROBERTO E. PEREZ</t>
        </is>
      </c>
      <c r="C1525" s="12" t="inlineStr">
        <is>
          <t>Protesistas protesis</t>
        </is>
      </c>
      <c r="D1525" s="12" t="inlineStr">
        <is>
          <t>Laboratorio dental</t>
        </is>
      </c>
      <c r="E1525" s="22" t="n">
        <v>139</v>
      </c>
      <c r="F1525" s="22" t="n">
        <v>5746</v>
      </c>
      <c r="G1525" s="24" t="inlineStr">
        <is>
          <t>https://guiarsanrafael.com.ar/empresa/roberto-e-perez/</t>
        </is>
      </c>
    </row>
    <row r="1526">
      <c r="A1526" s="19" t="n">
        <v>1525</v>
      </c>
      <c r="B1526" s="20" t="inlineStr">
        <is>
          <t>ROBERTO FRENOS</t>
        </is>
      </c>
      <c r="C1526" s="14" t="inlineStr">
        <is>
          <t>Frenos taller repuestos</t>
        </is>
      </c>
      <c r="D1526" s="14" t="inlineStr">
        <is>
          <t>Frenos</t>
        </is>
      </c>
      <c r="E1526" s="19" t="n">
        <v>62</v>
      </c>
      <c r="F1526" s="19" t="n">
        <v>8741</v>
      </c>
      <c r="G1526" s="21" t="inlineStr">
        <is>
          <t>https://guiarsanrafael.com.ar/empresa/roberto-frenos/</t>
        </is>
      </c>
    </row>
    <row r="1527">
      <c r="A1527" s="22" t="n">
        <v>1526</v>
      </c>
      <c r="B1527" s="23" t="inlineStr">
        <is>
          <t>ROBERTO MAMANI</t>
        </is>
      </c>
      <c r="C1527" s="12" t="inlineStr">
        <is>
          <t>Hematologia</t>
        </is>
      </c>
      <c r="D1527" s="12" t="inlineStr">
        <is>
          <t>Hematologia</t>
        </is>
      </c>
      <c r="E1527" s="22" t="n">
        <v>154</v>
      </c>
      <c r="F1527" s="22" t="n">
        <v>5364</v>
      </c>
      <c r="G1527" s="24" t="inlineStr">
        <is>
          <t>https://guiarsanrafael.com.ar/empresa/roberto-mamani/</t>
        </is>
      </c>
    </row>
    <row r="1528">
      <c r="A1528" s="19" t="n">
        <v>1527</v>
      </c>
      <c r="B1528" s="20" t="inlineStr">
        <is>
          <t>Rocio Daniela Cianci</t>
        </is>
      </c>
      <c r="C1528" s="14" t="inlineStr">
        <is>
          <t>Kinesiologia y fisioterapia</t>
        </is>
      </c>
      <c r="D1528" s="14" t="inlineStr">
        <is>
          <t>Centro de rehabilitacion</t>
        </is>
      </c>
      <c r="E1528" s="19" t="n">
        <v>153</v>
      </c>
      <c r="F1528" s="19" t="n">
        <v>5382</v>
      </c>
      <c r="G1528" s="21" t="inlineStr">
        <is>
          <t>https://guiarsanrafael.com.ar/empresa/rocio-daniela-cianci/</t>
        </is>
      </c>
    </row>
    <row r="1529">
      <c r="A1529" s="22" t="n">
        <v>1528</v>
      </c>
      <c r="B1529" s="23" t="inlineStr">
        <is>
          <t>ROCIO M. FERREYRO</t>
        </is>
      </c>
      <c r="C1529" s="12" t="inlineStr">
        <is>
          <t>Centro de rehabilitacion</t>
        </is>
      </c>
      <c r="D1529" s="12" t="inlineStr">
        <is>
          <t>Centro de rehabilitacion</t>
        </is>
      </c>
      <c r="E1529" s="22" t="n">
        <v>106</v>
      </c>
      <c r="F1529" s="22" t="n">
        <v>7294</v>
      </c>
      <c r="G1529" s="24" t="inlineStr">
        <is>
          <t>https://guiarsanrafael.com.ar/empresa/rocio-m-ferreyro/</t>
        </is>
      </c>
    </row>
    <row r="1530">
      <c r="A1530" s="19" t="n">
        <v>1529</v>
      </c>
      <c r="B1530" s="20" t="inlineStr">
        <is>
          <t>ROCIO OBLITAS</t>
        </is>
      </c>
      <c r="C1530" s="14" t="inlineStr">
        <is>
          <t>Endocrinologia</t>
        </is>
      </c>
      <c r="D1530" s="14" t="inlineStr">
        <is>
          <t>Endocrinologia</t>
        </is>
      </c>
      <c r="E1530" s="19" t="n">
        <v>20</v>
      </c>
      <c r="F1530" s="19" t="n">
        <v>12277</v>
      </c>
      <c r="G1530" s="21" t="inlineStr">
        <is>
          <t>https://guiarsanrafael.com.ar/empresa/rocio-oblitas/</t>
        </is>
      </c>
    </row>
    <row r="1531">
      <c r="A1531" s="22" t="n">
        <v>1530</v>
      </c>
      <c r="B1531" s="23" t="inlineStr">
        <is>
          <t>RODOLFO ARIEL FARÍA</t>
        </is>
      </c>
      <c r="C1531" s="12" t="inlineStr">
        <is>
          <t>Implantes</t>
        </is>
      </c>
      <c r="D1531" s="12" t="inlineStr">
        <is>
          <t>Implantes</t>
        </is>
      </c>
      <c r="E1531" s="22" t="n">
        <v>167</v>
      </c>
      <c r="F1531" s="22" t="n">
        <v>4826</v>
      </c>
      <c r="G1531" s="24" t="inlineStr">
        <is>
          <t>https://guiarsanrafael.com.ar/empresa/rodolfo-ariel-faria/</t>
        </is>
      </c>
    </row>
    <row r="1532">
      <c r="A1532" s="19" t="n">
        <v>1531</v>
      </c>
      <c r="B1532" s="20" t="inlineStr">
        <is>
          <t>Rodolfo Tosín</t>
        </is>
      </c>
      <c r="C1532" s="14" t="inlineStr">
        <is>
          <t>Odontologia</t>
        </is>
      </c>
      <c r="D1532" s="14" t="inlineStr">
        <is>
          <t>Odontologia</t>
        </is>
      </c>
      <c r="E1532" s="19" t="n">
        <v>99</v>
      </c>
      <c r="F1532" s="19" t="n">
        <v>7471</v>
      </c>
      <c r="G1532" s="21" t="inlineStr">
        <is>
          <t>https://guiarsanrafael.com.ar/empresa/rodolfo-tosin/</t>
        </is>
      </c>
    </row>
    <row r="1533">
      <c r="A1533" s="22" t="n">
        <v>1532</v>
      </c>
      <c r="B1533" s="23" t="inlineStr">
        <is>
          <t>RODRIGO C. PEREZ</t>
        </is>
      </c>
      <c r="C1533" s="12" t="inlineStr">
        <is>
          <t>Centro de rehabilitacion</t>
        </is>
      </c>
      <c r="D1533" s="12" t="inlineStr">
        <is>
          <t>Centro de rehabilitacion</t>
        </is>
      </c>
      <c r="E1533" s="22" t="n">
        <v>169</v>
      </c>
      <c r="F1533" s="22" t="n">
        <v>4575</v>
      </c>
      <c r="G1533" s="24" t="inlineStr">
        <is>
          <t>https://guiarsanrafael.com.ar/empresa/rodrigo-c-perez/</t>
        </is>
      </c>
    </row>
    <row r="1534">
      <c r="A1534" s="19" t="n">
        <v>1533</v>
      </c>
      <c r="B1534" s="20" t="inlineStr">
        <is>
          <t>RODRIGUEZ FERRARO Mariana</t>
        </is>
      </c>
      <c r="C1534" s="14" t="inlineStr">
        <is>
          <t>Escribanias escribanos escribanas mandatario mandataria notarios notarias</t>
        </is>
      </c>
      <c r="D1534" s="14" t="inlineStr">
        <is>
          <t>Escribanas</t>
        </is>
      </c>
      <c r="E1534" s="19" t="n">
        <v>80</v>
      </c>
      <c r="F1534" s="19" t="n">
        <v>8226</v>
      </c>
      <c r="G1534" s="21" t="inlineStr">
        <is>
          <t>https://guiarsanrafael.com.ar/empresa/rodriguez-ferraro-mariana/</t>
        </is>
      </c>
    </row>
    <row r="1535">
      <c r="A1535" s="22" t="n">
        <v>1534</v>
      </c>
      <c r="B1535" s="23" t="inlineStr">
        <is>
          <t>RODRIGUEZ MAULEÓN Mauricio</t>
        </is>
      </c>
      <c r="C1535" s="12" t="inlineStr">
        <is>
          <t>Escribanias escribanos escribanas mandatario mandataria notarios notarias</t>
        </is>
      </c>
      <c r="D1535" s="12" t="inlineStr">
        <is>
          <t>Escribanias</t>
        </is>
      </c>
      <c r="E1535" s="22" t="n">
        <v>80</v>
      </c>
      <c r="F1535" s="22" t="n">
        <v>8227</v>
      </c>
      <c r="G1535" s="24" t="inlineStr">
        <is>
          <t>https://guiarsanrafael.com.ar/empresa/rodriguez-mauleon-mauricio/</t>
        </is>
      </c>
    </row>
    <row r="1536">
      <c r="A1536" s="19" t="n">
        <v>1535</v>
      </c>
      <c r="B1536" s="20" t="inlineStr">
        <is>
          <t>Roldan Brian</t>
        </is>
      </c>
      <c r="C1536" s="14" t="inlineStr">
        <is>
          <t>Reumatologia</t>
        </is>
      </c>
      <c r="D1536" s="14" t="inlineStr">
        <is>
          <t>Reumatologia</t>
        </is>
      </c>
      <c r="E1536" s="19" t="n">
        <v>143</v>
      </c>
      <c r="F1536" s="19" t="n">
        <v>5525</v>
      </c>
      <c r="G1536" s="21" t="inlineStr">
        <is>
          <t>https://guiarsanrafael.com.ar/empresa/roldan-brian/</t>
        </is>
      </c>
    </row>
    <row r="1537">
      <c r="A1537" s="22" t="n">
        <v>1536</v>
      </c>
      <c r="B1537" s="23" t="inlineStr">
        <is>
          <t>ROMA Ferretería</t>
        </is>
      </c>
      <c r="C1537" s="12" t="inlineStr">
        <is>
          <t>Ferreterias herramientas</t>
        </is>
      </c>
      <c r="D1537" s="12" t="inlineStr">
        <is>
          <t>Ferreterias</t>
        </is>
      </c>
      <c r="E1537" s="22" t="n">
        <v>162</v>
      </c>
      <c r="F1537" s="22" t="n">
        <v>5194</v>
      </c>
      <c r="G1537" s="24" t="inlineStr">
        <is>
          <t>https://guiarsanrafael.com.ar/empresa/roma-ferreteria/</t>
        </is>
      </c>
    </row>
    <row r="1538">
      <c r="A1538" s="19" t="n">
        <v>1537</v>
      </c>
      <c r="B1538" s="20" t="inlineStr">
        <is>
          <t>ROMERO Marcela Mariana</t>
        </is>
      </c>
      <c r="C1538" s="14" t="inlineStr">
        <is>
          <t>Escribanias escribanos escribanas mandatario mandataria notarios notarias</t>
        </is>
      </c>
      <c r="D1538" s="14" t="inlineStr">
        <is>
          <t>Escribanas</t>
        </is>
      </c>
      <c r="E1538" s="19" t="n">
        <v>79</v>
      </c>
      <c r="F1538" s="19" t="n">
        <v>8228</v>
      </c>
      <c r="G1538" s="21" t="inlineStr">
        <is>
          <t>https://guiarsanrafael.com.ar/empresa/romero-marcela-mariana/</t>
        </is>
      </c>
    </row>
    <row r="1539">
      <c r="A1539" s="22" t="n">
        <v>1538</v>
      </c>
      <c r="B1539" s="23" t="inlineStr">
        <is>
          <t>Romina Collado</t>
        </is>
      </c>
      <c r="C1539" s="12" t="inlineStr">
        <is>
          <t>Psicopedagogia</t>
        </is>
      </c>
      <c r="D1539" s="12" t="inlineStr">
        <is>
          <t>Psicopedagogia</t>
        </is>
      </c>
      <c r="E1539" s="22" t="n">
        <v>143</v>
      </c>
      <c r="F1539" s="22" t="n">
        <v>5521</v>
      </c>
      <c r="G1539" s="24" t="inlineStr">
        <is>
          <t>https://guiarsanrafael.com.ar/empresa/romina-collado/</t>
        </is>
      </c>
    </row>
    <row r="1540">
      <c r="A1540" s="19" t="n">
        <v>1539</v>
      </c>
      <c r="B1540" s="20" t="inlineStr">
        <is>
          <t>Romina Maldonado</t>
        </is>
      </c>
      <c r="C1540" s="14" t="inlineStr">
        <is>
          <t>Terapia ocupacional terapista</t>
        </is>
      </c>
      <c r="D1540" s="14" t="inlineStr">
        <is>
          <t>Terapista ocupacional</t>
        </is>
      </c>
      <c r="E1540" s="19" t="n">
        <v>142</v>
      </c>
      <c r="F1540" s="19" t="n">
        <v>5532</v>
      </c>
      <c r="G1540" s="21" t="inlineStr">
        <is>
          <t>https://guiarsanrafael.com.ar/empresa/romina-maldonado/</t>
        </is>
      </c>
    </row>
    <row r="1541">
      <c r="A1541" s="22" t="n">
        <v>1540</v>
      </c>
      <c r="B1541" s="23" t="inlineStr">
        <is>
          <t>ROMINA Nails Studio</t>
        </is>
      </c>
      <c r="C1541" s="12" t="inlineStr">
        <is>
          <t>Belleza de pies y manos unas nails</t>
        </is>
      </c>
      <c r="D1541" s="12" t="inlineStr">
        <is>
          <t>Centro de estetica</t>
        </is>
      </c>
      <c r="E1541" s="22" t="n">
        <v>20</v>
      </c>
      <c r="F1541" s="22" t="n">
        <v>12171</v>
      </c>
      <c r="G1541" s="24" t="inlineStr">
        <is>
          <t>https://guiarsanrafael.com.ar/empresa/camila-soto-masoterapeuta/</t>
        </is>
      </c>
    </row>
    <row r="1542">
      <c r="A1542" s="19" t="n">
        <v>1541</v>
      </c>
      <c r="B1542" s="20" t="inlineStr">
        <is>
          <t>ROSALES FERNÁNDEZ Cecilia Vanesa</t>
        </is>
      </c>
      <c r="C1542" s="14" t="inlineStr">
        <is>
          <t>Escribanias escribanos escribanas mandatario mandataria notarios notarias</t>
        </is>
      </c>
      <c r="D1542" s="14" t="inlineStr">
        <is>
          <t>Escribanas</t>
        </is>
      </c>
      <c r="E1542" s="19" t="n">
        <v>79</v>
      </c>
      <c r="F1542" s="19" t="n">
        <v>8230</v>
      </c>
      <c r="G1542" s="21" t="inlineStr">
        <is>
          <t>https://guiarsanrafael.com.ar/empresa/rosales-fernandez-cecilia-vanesa/</t>
        </is>
      </c>
    </row>
    <row r="1543">
      <c r="A1543" s="22" t="n">
        <v>1542</v>
      </c>
      <c r="B1543" s="23" t="inlineStr">
        <is>
          <t>ROSSÉ Nails &amp; Co</t>
        </is>
      </c>
      <c r="C1543" s="12" t="inlineStr">
        <is>
          <t>Belleza de pies y manos unas nails</t>
        </is>
      </c>
      <c r="D1543" s="12" t="inlineStr">
        <is>
          <t>Manicuria</t>
        </is>
      </c>
      <c r="E1543" s="22" t="n">
        <v>21</v>
      </c>
      <c r="F1543" s="22" t="n">
        <v>12133</v>
      </c>
      <c r="G1543" s="24" t="inlineStr">
        <is>
          <t>https://guiarsanrafael.com.ar/empresa/rosse-nails-co/</t>
        </is>
      </c>
    </row>
    <row r="1544">
      <c r="A1544" s="19" t="n">
        <v>1543</v>
      </c>
      <c r="B1544" s="20" t="inlineStr">
        <is>
          <t>ROTISERIA CASTELLI</t>
        </is>
      </c>
      <c r="C1544" s="14" t="inlineStr">
        <is>
          <t>Casa de comidas rotiseria viandas</t>
        </is>
      </c>
      <c r="D1544" s="14" t="inlineStr">
        <is>
          <t>Casa de comidas</t>
        </is>
      </c>
      <c r="E1544" s="19" t="n">
        <v>140</v>
      </c>
      <c r="F1544" s="19" t="n">
        <v>5591</v>
      </c>
      <c r="G1544" s="21" t="inlineStr">
        <is>
          <t>https://guiarsanrafael.com.ar/empresa/rotiseria-castelli/</t>
        </is>
      </c>
    </row>
    <row r="1545">
      <c r="A1545" s="22" t="n">
        <v>1544</v>
      </c>
      <c r="B1545" s="23" t="inlineStr">
        <is>
          <t>Roxana Barahona</t>
        </is>
      </c>
      <c r="C1545" s="12" t="inlineStr">
        <is>
          <t>Odontologia</t>
        </is>
      </c>
      <c r="D1545" s="12" t="inlineStr">
        <is>
          <t>Odontologia</t>
        </is>
      </c>
      <c r="E1545" s="22" t="n">
        <v>105</v>
      </c>
      <c r="F1545" s="22" t="n">
        <v>7363</v>
      </c>
      <c r="G1545" s="24" t="inlineStr">
        <is>
          <t>https://guiarsanrafael.com.ar/empresa/roxana-barahona/</t>
        </is>
      </c>
    </row>
    <row r="1546">
      <c r="A1546" s="19" t="n">
        <v>1545</v>
      </c>
      <c r="B1546" s="20" t="inlineStr">
        <is>
          <t>ROXANA CORTEZ</t>
        </is>
      </c>
      <c r="C1546" s="14" t="inlineStr">
        <is>
          <t>Diagnostico por imagenes ecografia mamografias</t>
        </is>
      </c>
      <c r="D1546" s="14" t="inlineStr">
        <is>
          <t>Diagnostico por imagenes</t>
        </is>
      </c>
      <c r="E1546" s="19" t="n">
        <v>158</v>
      </c>
      <c r="F1546" s="19" t="n">
        <v>5295</v>
      </c>
      <c r="G1546" s="21" t="inlineStr">
        <is>
          <t>https://guiarsanrafael.com.ar/empresa/roxana-cortez/</t>
        </is>
      </c>
    </row>
    <row r="1547">
      <c r="A1547" s="22" t="n">
        <v>1546</v>
      </c>
      <c r="B1547" s="23" t="inlineStr">
        <is>
          <t>Roxana Maturano</t>
        </is>
      </c>
      <c r="C1547" s="12" t="inlineStr">
        <is>
          <t>Nutricion nutricionistas</t>
        </is>
      </c>
      <c r="D1547" s="12" t="inlineStr">
        <is>
          <t>Nutricionistas</t>
        </is>
      </c>
      <c r="E1547" s="22" t="n">
        <v>149</v>
      </c>
      <c r="F1547" s="22" t="n">
        <v>5429</v>
      </c>
      <c r="G1547" s="24" t="inlineStr">
        <is>
          <t>https://guiarsanrafael.com.ar/empresa/roxana-maturano/</t>
        </is>
      </c>
    </row>
    <row r="1548">
      <c r="A1548" s="19" t="n">
        <v>1547</v>
      </c>
      <c r="B1548" s="20" t="inlineStr">
        <is>
          <t>RPM Suspensiones</t>
        </is>
      </c>
      <c r="C1548" s="14" t="inlineStr">
        <is>
          <t>Mecanica de motos</t>
        </is>
      </c>
      <c r="D1548" s="14" t="inlineStr">
        <is>
          <t>Mecanica de motos</t>
        </is>
      </c>
      <c r="E1548" s="19" t="n">
        <v>69</v>
      </c>
      <c r="F1548" s="19" t="n">
        <v>8482</v>
      </c>
      <c r="G1548" s="21" t="inlineStr">
        <is>
          <t>https://guiarsanrafael.com.ar/empresa/rpm-suspensiones/</t>
        </is>
      </c>
    </row>
    <row r="1549">
      <c r="A1549" s="22" t="n">
        <v>1548</v>
      </c>
      <c r="B1549" s="23" t="inlineStr">
        <is>
          <t>RSK Motopartes y Servicios</t>
        </is>
      </c>
      <c r="C1549" s="12" t="inlineStr">
        <is>
          <t>Lubricantes aceites lubricentro</t>
        </is>
      </c>
      <c r="D1549" s="12" t="inlineStr">
        <is>
          <t>Accesorios para motos</t>
        </is>
      </c>
      <c r="E1549" s="22" t="n">
        <v>138</v>
      </c>
      <c r="F1549" s="22" t="n">
        <v>5774</v>
      </c>
      <c r="G1549" s="24" t="inlineStr">
        <is>
          <t>https://guiarsanrafael.com.ar/empresa/rsk-motos/</t>
        </is>
      </c>
    </row>
    <row r="1550">
      <c r="A1550" s="19" t="n">
        <v>1549</v>
      </c>
      <c r="B1550" s="20" t="inlineStr">
        <is>
          <t>RUDA Cosmética Natural</t>
        </is>
      </c>
      <c r="C1550" s="14" t="inlineStr">
        <is>
          <t>Cosmetica cosmetologia cosmetologa cosmiatra</t>
        </is>
      </c>
      <c r="D1550" s="14" t="inlineStr">
        <is>
          <t>Cosmetica perfumeria</t>
        </is>
      </c>
      <c r="E1550" s="19" t="n">
        <v>65</v>
      </c>
      <c r="F1550" s="19" t="n">
        <v>8638</v>
      </c>
      <c r="G1550" s="21" t="inlineStr">
        <is>
          <t>https://guiarsanrafael.com.ar/empresa/ruda-cosmetica-natural/</t>
        </is>
      </c>
    </row>
    <row r="1551">
      <c r="A1551" s="22" t="n">
        <v>1550</v>
      </c>
      <c r="B1551" s="23" t="inlineStr">
        <is>
          <t>RUIZ Daniel Fabian</t>
        </is>
      </c>
      <c r="C1551" s="12" t="inlineStr">
        <is>
          <t>Escribanias escribanos escribanas mandatario mandataria notarios notarias</t>
        </is>
      </c>
      <c r="D1551" s="12" t="inlineStr">
        <is>
          <t>Escribanias</t>
        </is>
      </c>
      <c r="E1551" s="22" t="n">
        <v>79</v>
      </c>
      <c r="F1551" s="22" t="n">
        <v>8231</v>
      </c>
      <c r="G1551" s="24" t="inlineStr">
        <is>
          <t>https://guiarsanrafael.com.ar/empresa/ruiz-daniel-fabian/</t>
        </is>
      </c>
    </row>
    <row r="1552">
      <c r="A1552" s="19" t="n">
        <v>1551</v>
      </c>
      <c r="B1552" s="20" t="inlineStr">
        <is>
          <t>Rusca Franco Julián</t>
        </is>
      </c>
      <c r="C1552" s="14" t="inlineStr">
        <is>
          <t>Abogados abogadas estudios juridicos</t>
        </is>
      </c>
      <c r="D1552" s="14" t="inlineStr">
        <is>
          <t>Abogados</t>
        </is>
      </c>
      <c r="E1552" s="19" t="n">
        <v>107</v>
      </c>
      <c r="F1552" s="19" t="n">
        <v>7271</v>
      </c>
      <c r="G1552" s="21" t="inlineStr">
        <is>
          <t>https://guiarsanrafael.com.ar/empresa/rusca-franco-julian/</t>
        </is>
      </c>
    </row>
    <row r="1553">
      <c r="A1553" s="22" t="n">
        <v>1552</v>
      </c>
      <c r="B1553" s="23" t="inlineStr">
        <is>
          <t>S Gráfica</t>
        </is>
      </c>
      <c r="C1553" s="12" t="inlineStr">
        <is>
          <t>Carteleria graficas ploteados letreros</t>
        </is>
      </c>
      <c r="D1553" s="12" t="inlineStr">
        <is>
          <t>Carteleria</t>
        </is>
      </c>
      <c r="E1553" s="22" t="n">
        <v>76</v>
      </c>
      <c r="F1553" s="22" t="n">
        <v>8356</v>
      </c>
      <c r="G1553" s="24" t="inlineStr">
        <is>
          <t>https://guiarsanrafael.com.ar/empresa/s-grafica/</t>
        </is>
      </c>
    </row>
    <row r="1554">
      <c r="A1554" s="19" t="n">
        <v>1553</v>
      </c>
      <c r="B1554" s="20" t="inlineStr">
        <is>
          <t>S&amp;M Drinks Bebidas y Fiambrería</t>
        </is>
      </c>
      <c r="C1554" s="14" t="inlineStr">
        <is>
          <t>Fiambrerias</t>
        </is>
      </c>
      <c r="D1554" s="14" t="inlineStr">
        <is>
          <t>(sin ubicación)</t>
        </is>
      </c>
      <c r="E1554" s="19" t="n">
        <v>140</v>
      </c>
      <c r="F1554" s="19" t="n">
        <v>5603</v>
      </c>
      <c r="G1554" s="21" t="inlineStr">
        <is>
          <t>https://guiarsanrafael.com.ar/empresa/sm-drinks-bebidas-y-fiambreria/</t>
        </is>
      </c>
    </row>
    <row r="1555">
      <c r="A1555" s="22" t="n">
        <v>1554</v>
      </c>
      <c r="B1555" s="23" t="inlineStr">
        <is>
          <t>S.I.L.A. Repuestos</t>
        </is>
      </c>
      <c r="C1555" s="12" t="inlineStr">
        <is>
          <t>Articulos para el hogar bazar</t>
        </is>
      </c>
      <c r="D1555" s="12" t="inlineStr">
        <is>
          <t>Repuestos de electrodomesticos</t>
        </is>
      </c>
      <c r="E1555" s="22" t="n">
        <v>72</v>
      </c>
      <c r="F1555" s="22" t="n">
        <v>8437</v>
      </c>
      <c r="G1555" s="24" t="inlineStr">
        <is>
          <t>https://guiarsanrafael.com.ar/empresa/s-i-l-a-repuestos/</t>
        </is>
      </c>
    </row>
    <row r="1556">
      <c r="A1556" s="19" t="n">
        <v>1555</v>
      </c>
      <c r="B1556" s="20" t="inlineStr">
        <is>
          <t>SAAVEDRA SALUD Servicios Médicos</t>
        </is>
      </c>
      <c r="C1556" s="14" t="inlineStr">
        <is>
          <t>Consultorios medicos</t>
        </is>
      </c>
      <c r="D1556" s="14" t="inlineStr">
        <is>
          <t>Consultorios medicos</t>
        </is>
      </c>
      <c r="E1556" s="19" t="n">
        <v>36</v>
      </c>
      <c r="F1556" s="19" t="n">
        <v>10210</v>
      </c>
      <c r="G1556" s="21" t="inlineStr">
        <is>
          <t>https://guiarsanrafael.com.ar/empresa/saavedra-salud-servicios-medicos/</t>
        </is>
      </c>
    </row>
    <row r="1557">
      <c r="A1557" s="22" t="n">
        <v>1556</v>
      </c>
      <c r="B1557" s="23" t="inlineStr">
        <is>
          <t>SABIO ABERTURAS</t>
        </is>
      </c>
      <c r="C1557" s="12" t="inlineStr">
        <is>
          <t>Aberturas</t>
        </is>
      </c>
      <c r="D1557" s="12" t="inlineStr">
        <is>
          <t>Aberturas</t>
        </is>
      </c>
      <c r="E1557" s="22" t="n">
        <v>162</v>
      </c>
      <c r="F1557" s="22" t="n">
        <v>5187</v>
      </c>
      <c r="G1557" s="24" t="inlineStr">
        <is>
          <t>https://guiarsanrafael.com.ar/empresa/sabio-aberturas/</t>
        </is>
      </c>
    </row>
    <row r="1558">
      <c r="A1558" s="19" t="n">
        <v>1557</v>
      </c>
      <c r="B1558" s="20" t="inlineStr">
        <is>
          <t>SABORES delicatessen</t>
        </is>
      </c>
      <c r="C1558" s="14" t="inlineStr">
        <is>
          <t>Artesanias</t>
        </is>
      </c>
      <c r="D1558" s="14" t="inlineStr">
        <is>
          <t>Artesanias</t>
        </is>
      </c>
      <c r="E1558" s="19" t="n">
        <v>52</v>
      </c>
      <c r="F1558" s="19" t="n">
        <v>9278</v>
      </c>
      <c r="G1558" s="21" t="inlineStr">
        <is>
          <t>https://guiarsanrafael.com.ar/empresa/sabores-delicatessen/</t>
        </is>
      </c>
    </row>
    <row r="1559">
      <c r="A1559" s="22" t="n">
        <v>1558</v>
      </c>
      <c r="B1559" s="23" t="inlineStr">
        <is>
          <t>SABORES Panadería &amp; Confitería</t>
        </is>
      </c>
      <c r="C1559" s="12" t="inlineStr">
        <is>
          <t>Confiterias reposteria</t>
        </is>
      </c>
      <c r="D1559" s="12" t="inlineStr">
        <is>
          <t>Panaderia</t>
        </is>
      </c>
      <c r="E1559" s="22" t="n">
        <v>63</v>
      </c>
      <c r="F1559" s="22" t="n">
        <v>8668</v>
      </c>
      <c r="G1559" s="24" t="inlineStr">
        <is>
          <t>https://guiarsanrafael.com.ar/empresa/sabores-panaderia-confiteria/</t>
        </is>
      </c>
    </row>
    <row r="1560">
      <c r="A1560" s="19" t="n">
        <v>1559</v>
      </c>
      <c r="B1560" s="20" t="inlineStr">
        <is>
          <t>Sabrina Acuña</t>
        </is>
      </c>
      <c r="C1560" s="14" t="inlineStr">
        <is>
          <t>Psicologia</t>
        </is>
      </c>
      <c r="D1560" s="14" t="inlineStr">
        <is>
          <t>Psicologia</t>
        </is>
      </c>
      <c r="E1560" s="19" t="n">
        <v>145</v>
      </c>
      <c r="F1560" s="19" t="n">
        <v>5485</v>
      </c>
      <c r="G1560" s="21" t="inlineStr">
        <is>
          <t>https://guiarsanrafael.com.ar/empresa/sabrina-acuna/</t>
        </is>
      </c>
    </row>
    <row r="1561">
      <c r="A1561" s="22" t="n">
        <v>1560</v>
      </c>
      <c r="B1561" s="23" t="inlineStr">
        <is>
          <t>SACI  Laboratorio de Análisis Clínicos</t>
        </is>
      </c>
      <c r="C1561" s="12" t="inlineStr">
        <is>
          <t>Bioquimicos laboratorio</t>
        </is>
      </c>
      <c r="D1561" s="12" t="inlineStr">
        <is>
          <t>Bioquimicos</t>
        </is>
      </c>
      <c r="E1561" s="22" t="n">
        <v>43</v>
      </c>
      <c r="F1561" s="22" t="n">
        <v>9784</v>
      </c>
      <c r="G1561" s="24" t="inlineStr">
        <is>
          <t>https://guiarsanrafael.com.ar/empresa/saci-laboratorio-de-analisis-clinicos/</t>
        </is>
      </c>
    </row>
    <row r="1562">
      <c r="A1562" s="19" t="n">
        <v>1561</v>
      </c>
      <c r="B1562" s="20" t="inlineStr">
        <is>
          <t>SALOMÓN María Carolina</t>
        </is>
      </c>
      <c r="C1562" s="14" t="inlineStr">
        <is>
          <t>Escribanias escribanos escribanas mandatario mandataria notarios notarias</t>
        </is>
      </c>
      <c r="D1562" s="14" t="inlineStr">
        <is>
          <t>Escribanas</t>
        </is>
      </c>
      <c r="E1562" s="19" t="n">
        <v>79</v>
      </c>
      <c r="F1562" s="19" t="n">
        <v>8232</v>
      </c>
      <c r="G1562" s="21" t="inlineStr">
        <is>
          <t>https://guiarsanrafael.com.ar/empresa/salomon-maria-carolina/</t>
        </is>
      </c>
    </row>
    <row r="1563">
      <c r="A1563" s="22" t="n">
        <v>1562</v>
      </c>
      <c r="B1563" s="23" t="inlineStr">
        <is>
          <t>Salvo Repuestos</t>
        </is>
      </c>
      <c r="C1563" s="12" t="inlineStr">
        <is>
          <t>Repuestos del automotor autopartes</t>
        </is>
      </c>
      <c r="D1563" s="12" t="inlineStr">
        <is>
          <t>Repuestos del automotor</t>
        </is>
      </c>
      <c r="E1563" s="22" t="n">
        <v>74</v>
      </c>
      <c r="F1563" s="22" t="n">
        <v>8413</v>
      </c>
      <c r="G1563" s="24" t="inlineStr">
        <is>
          <t>https://guiarsanrafael.com.ar/empresa/salvo-repuestos/</t>
        </is>
      </c>
    </row>
    <row r="1564">
      <c r="A1564" s="19" t="n">
        <v>1563</v>
      </c>
      <c r="B1564" s="20" t="inlineStr">
        <is>
          <t>Salvo Repuestos 2</t>
        </is>
      </c>
      <c r="C1564" s="14" t="inlineStr">
        <is>
          <t>Repuestos del automotor autopartes</t>
        </is>
      </c>
      <c r="D1564" s="14" t="inlineStr">
        <is>
          <t>Autopartes</t>
        </is>
      </c>
      <c r="E1564" s="19" t="n">
        <v>76</v>
      </c>
      <c r="F1564" s="19" t="n">
        <v>8395</v>
      </c>
      <c r="G1564" s="21" t="inlineStr">
        <is>
          <t>https://guiarsanrafael.com.ar/empresa/salvo-repuestos-2/</t>
        </is>
      </c>
    </row>
    <row r="1565">
      <c r="A1565" s="22" t="n">
        <v>1564</v>
      </c>
      <c r="B1565" s="23" t="inlineStr">
        <is>
          <t>SAMARTfix</t>
        </is>
      </c>
      <c r="C1565" s="12" t="inlineStr">
        <is>
          <t>Accesorios de telefonia celular</t>
        </is>
      </c>
      <c r="D1565" s="12" t="inlineStr">
        <is>
          <t>Accesorios de telefonia</t>
        </is>
      </c>
      <c r="E1565" s="22" t="n">
        <v>183</v>
      </c>
      <c r="F1565" s="22" t="n">
        <v>4672</v>
      </c>
      <c r="G1565" s="24" t="inlineStr">
        <is>
          <t>https://guiarsanrafael.com.ar/empresa/samartfix/</t>
        </is>
      </c>
    </row>
    <row r="1566">
      <c r="A1566" s="19" t="n">
        <v>1565</v>
      </c>
      <c r="B1566" s="20" t="inlineStr">
        <is>
          <t>SAMPER Mario Alberto</t>
        </is>
      </c>
      <c r="C1566" s="14" t="inlineStr">
        <is>
          <t>Escribanias escribanos escribanas mandatario mandataria notarios notarias</t>
        </is>
      </c>
      <c r="D1566" s="14" t="inlineStr">
        <is>
          <t>Escribanias</t>
        </is>
      </c>
      <c r="E1566" s="19" t="n">
        <v>79</v>
      </c>
      <c r="F1566" s="19" t="n">
        <v>8233</v>
      </c>
      <c r="G1566" s="21" t="inlineStr">
        <is>
          <t>https://guiarsanrafael.com.ar/empresa/samper-mario-alberto/</t>
        </is>
      </c>
    </row>
    <row r="1567">
      <c r="A1567" s="22" t="n">
        <v>1566</v>
      </c>
      <c r="B1567" s="23" t="inlineStr">
        <is>
          <t>San Francisco</t>
        </is>
      </c>
      <c r="C1567" s="12" t="inlineStr">
        <is>
          <t>Panaderias</t>
        </is>
      </c>
      <c r="D1567" s="12" t="inlineStr">
        <is>
          <t>Confiteria</t>
        </is>
      </c>
      <c r="E1567" s="22" t="n">
        <v>64</v>
      </c>
      <c r="F1567" s="22" t="n">
        <v>8653</v>
      </c>
      <c r="G1567" s="24" t="inlineStr">
        <is>
          <t>https://guiarsanrafael.com.ar/empresa/san-francisco/</t>
        </is>
      </c>
    </row>
    <row r="1568">
      <c r="A1568" s="19" t="n">
        <v>1567</v>
      </c>
      <c r="B1568" s="20" t="inlineStr">
        <is>
          <t>San Juan 	Javier Alonso</t>
        </is>
      </c>
      <c r="C1568" s="14" t="inlineStr">
        <is>
          <t>Abogados abogadas estudios juridicos</t>
        </is>
      </c>
      <c r="D1568" s="14" t="inlineStr">
        <is>
          <t>Abogados</t>
        </is>
      </c>
      <c r="E1568" s="19" t="n">
        <v>110</v>
      </c>
      <c r="F1568" s="19" t="n">
        <v>7224</v>
      </c>
      <c r="G1568" s="21" t="inlineStr">
        <is>
          <t>https://guiarsanrafael.com.ar/empresa/san-juan-javier-alonso/</t>
        </is>
      </c>
    </row>
    <row r="1569">
      <c r="A1569" s="22" t="n">
        <v>1568</v>
      </c>
      <c r="B1569" s="23" t="inlineStr">
        <is>
          <t>SAN JULIAN Productos Eléctricos y Más!!!</t>
        </is>
      </c>
      <c r="C1569" s="12" t="inlineStr">
        <is>
          <t>Electricidad iluminacion</t>
        </is>
      </c>
      <c r="D1569" s="12" t="inlineStr">
        <is>
          <t>Electricidad</t>
        </is>
      </c>
      <c r="E1569" s="22" t="n">
        <v>30</v>
      </c>
      <c r="F1569" s="22" t="n">
        <v>11016</v>
      </c>
      <c r="G1569" s="24" t="inlineStr">
        <is>
          <t>https://guiarsanrafael.com.ar/empresa/san-julian-productos-electricos-y-mas/</t>
        </is>
      </c>
    </row>
    <row r="1570">
      <c r="A1570" s="19" t="n">
        <v>1569</v>
      </c>
      <c r="B1570" s="20" t="inlineStr">
        <is>
          <t>SAN MARINO Gimnasio</t>
        </is>
      </c>
      <c r="C1570" s="14" t="inlineStr">
        <is>
          <t>Gimnasios gym</t>
        </is>
      </c>
      <c r="D1570" s="14" t="inlineStr">
        <is>
          <t>Gimnasios</t>
        </is>
      </c>
      <c r="E1570" s="19" t="n">
        <v>131</v>
      </c>
      <c r="F1570" s="19" t="n">
        <v>6309</v>
      </c>
      <c r="G1570" s="21" t="inlineStr">
        <is>
          <t>https://guiarsanrafael.com.ar/empresa/san-marino-gimnasio/</t>
        </is>
      </c>
    </row>
    <row r="1571">
      <c r="A1571" s="22" t="n">
        <v>1570</v>
      </c>
      <c r="B1571" s="23" t="inlineStr">
        <is>
          <t>San Martín Hotel y Spa</t>
        </is>
      </c>
      <c r="C1571" s="12" t="inlineStr">
        <is>
          <t>Hoteles hostel hoteleria</t>
        </is>
      </c>
      <c r="D1571" s="12" t="inlineStr">
        <is>
          <t>Alojamientos</t>
        </is>
      </c>
      <c r="E1571" s="22" t="n">
        <v>93</v>
      </c>
      <c r="F1571" s="22" t="n">
        <v>7824</v>
      </c>
      <c r="G1571" s="24" t="inlineStr">
        <is>
          <t>https://guiarsanrafael.com.ar/empresa/san-martin-hotel-and-spa/</t>
        </is>
      </c>
    </row>
    <row r="1572">
      <c r="A1572" s="19" t="n">
        <v>1571</v>
      </c>
      <c r="B1572" s="20" t="inlineStr">
        <is>
          <t>San Rafael Agrícola</t>
        </is>
      </c>
      <c r="C1572" s="14" t="inlineStr">
        <is>
          <t>Maquinarias agricolas</t>
        </is>
      </c>
      <c r="D1572" s="14" t="inlineStr">
        <is>
          <t>Maquinarias agricolas</t>
        </is>
      </c>
      <c r="E1572" s="19" t="n">
        <v>70</v>
      </c>
      <c r="F1572" s="19" t="n">
        <v>8474</v>
      </c>
      <c r="G1572" s="21" t="inlineStr">
        <is>
          <t>https://guiarsanrafael.com.ar/empresa/san-rafael-agricola/</t>
        </is>
      </c>
    </row>
    <row r="1573">
      <c r="A1573" s="22" t="n">
        <v>1572</v>
      </c>
      <c r="B1573" s="23" t="inlineStr">
        <is>
          <t>SAN RAFAEL COLOR</t>
        </is>
      </c>
      <c r="C1573" s="12" t="inlineStr">
        <is>
          <t>Pintura del automotor taller</t>
        </is>
      </c>
      <c r="D1573" s="12" t="inlineStr">
        <is>
          <t>Pintura del automotor</t>
        </is>
      </c>
      <c r="E1573" s="22" t="n">
        <v>56</v>
      </c>
      <c r="F1573" s="22" t="n">
        <v>9140</v>
      </c>
      <c r="G1573" s="24" t="inlineStr">
        <is>
          <t>https://guiarsanrafael.com.ar/empresa/san-rafael-color/</t>
        </is>
      </c>
    </row>
    <row r="1574">
      <c r="A1574" s="19" t="n">
        <v>1573</v>
      </c>
      <c r="B1574" s="20" t="inlineStr">
        <is>
          <t>SAN RAFAEL EXTINTORES</t>
        </is>
      </c>
      <c r="C1574" s="14" t="inlineStr">
        <is>
          <t>Empresas de servicio</t>
        </is>
      </c>
      <c r="D1574" s="14" t="inlineStr">
        <is>
          <t>Empresas de servicio</t>
        </is>
      </c>
      <c r="E1574" s="19" t="n">
        <v>26</v>
      </c>
      <c r="F1574" s="19" t="n">
        <v>11583</v>
      </c>
      <c r="G1574" s="21" t="inlineStr">
        <is>
          <t>https://guiarsanrafael.com.ar/empresa/san-rafael-extintores/</t>
        </is>
      </c>
    </row>
    <row r="1575">
      <c r="A1575" s="22" t="n">
        <v>1574</v>
      </c>
      <c r="B1575" s="23" t="inlineStr">
        <is>
          <t>San Rafael Group</t>
        </is>
      </c>
      <c r="C1575" s="12" t="inlineStr">
        <is>
          <t>Alojamiento cabanas camping</t>
        </is>
      </c>
      <c r="D1575" s="12" t="inlineStr">
        <is>
          <t>Alojamientos</t>
        </is>
      </c>
      <c r="E1575" s="22" t="n">
        <v>59</v>
      </c>
      <c r="F1575" s="22" t="n">
        <v>8916</v>
      </c>
      <c r="G1575" s="24" t="inlineStr">
        <is>
          <t>https://guiarsanrafael.com.ar/empresa/san-rafael-group/</t>
        </is>
      </c>
    </row>
    <row r="1576">
      <c r="A1576" s="19" t="n">
        <v>1575</v>
      </c>
      <c r="B1576" s="20" t="inlineStr">
        <is>
          <t>SAN RAFAEL Jardín Maternal</t>
        </is>
      </c>
      <c r="C1576" s="14" t="inlineStr">
        <is>
          <t>Jardines maternales</t>
        </is>
      </c>
      <c r="D1576" s="14" t="inlineStr">
        <is>
          <t>Jardin maternal</t>
        </is>
      </c>
      <c r="E1576" s="19" t="n">
        <v>26</v>
      </c>
      <c r="F1576" s="19" t="n">
        <v>11539</v>
      </c>
      <c r="G1576" s="21" t="inlineStr">
        <is>
          <t>https://guiarsanrafael.com.ar/empresa/mi-mundo-arco-iris-jardin-maternal/</t>
        </is>
      </c>
    </row>
    <row r="1577">
      <c r="A1577" s="22" t="n">
        <v>1576</v>
      </c>
      <c r="B1577" s="23" t="inlineStr">
        <is>
          <t>SAN RAFAEL Maquinas</t>
        </is>
      </c>
      <c r="C1577" s="12" t="inlineStr">
        <is>
          <t>Controladores fiscales</t>
        </is>
      </c>
      <c r="D1577" s="12" t="inlineStr">
        <is>
          <t>Controladores fiscales</t>
        </is>
      </c>
      <c r="E1577" s="22" t="n">
        <v>140</v>
      </c>
      <c r="F1577" s="22" t="n">
        <v>5580</v>
      </c>
      <c r="G1577" s="24" t="inlineStr">
        <is>
          <t>https://guiarsanrafael.com.ar/empresa/san-rafael-maquinas/</t>
        </is>
      </c>
    </row>
    <row r="1578">
      <c r="A1578" s="19" t="n">
        <v>1577</v>
      </c>
      <c r="B1578" s="20" t="inlineStr">
        <is>
          <t>SAN RAFAEL Moto Rental</t>
        </is>
      </c>
      <c r="C1578" s="14" t="inlineStr">
        <is>
          <t>Alquiler de motos</t>
        </is>
      </c>
      <c r="D1578" s="14" t="inlineStr">
        <is>
          <t>Alquiler de motos</t>
        </is>
      </c>
      <c r="E1578" s="19" t="n">
        <v>27</v>
      </c>
      <c r="F1578" s="19" t="n">
        <v>11397</v>
      </c>
      <c r="G1578" s="21" t="inlineStr">
        <is>
          <t>https://guiarsanrafael.com.ar/empresa/11397/</t>
        </is>
      </c>
    </row>
    <row r="1579">
      <c r="A1579" s="22" t="n">
        <v>1578</v>
      </c>
      <c r="B1579" s="23" t="inlineStr">
        <is>
          <t>San Rafael Motos Quads</t>
        </is>
      </c>
      <c r="C1579" s="12" t="inlineStr">
        <is>
          <t>Mecanica de motos</t>
        </is>
      </c>
      <c r="D1579" s="12" t="inlineStr">
        <is>
          <t>Mecanica de motos</t>
        </is>
      </c>
      <c r="E1579" s="22" t="n">
        <v>71</v>
      </c>
      <c r="F1579" s="22" t="n">
        <v>8444</v>
      </c>
      <c r="G1579" s="24" t="inlineStr">
        <is>
          <t>https://guiarsanrafael.com.ar/empresa/san-rafael-motos-quads/</t>
        </is>
      </c>
    </row>
    <row r="1580">
      <c r="A1580" s="19" t="n">
        <v>1579</v>
      </c>
      <c r="B1580" s="20" t="inlineStr">
        <is>
          <t>SAN TELMO RESTO BAR</t>
        </is>
      </c>
      <c r="C1580" s="14" t="inlineStr">
        <is>
          <t>Restaurantes parrilas</t>
        </is>
      </c>
      <c r="D1580" s="14" t="inlineStr">
        <is>
          <t>Restaurantes</t>
        </is>
      </c>
      <c r="E1580" s="19" t="n">
        <v>37</v>
      </c>
      <c r="F1580" s="19" t="n">
        <v>10259</v>
      </c>
      <c r="G1580" s="21" t="inlineStr">
        <is>
          <t>https://guiarsanrafael.com.ar/empresa/san-telmo-resto-bar/</t>
        </is>
      </c>
    </row>
    <row r="1581">
      <c r="A1581" s="22" t="n">
        <v>1580</v>
      </c>
      <c r="B1581" s="23" t="inlineStr">
        <is>
          <t>SANCHEZ María Eugenia</t>
        </is>
      </c>
      <c r="C1581" s="12" t="inlineStr">
        <is>
          <t>Escribanias escribanos escribanas mandatario mandataria notarios notarias</t>
        </is>
      </c>
      <c r="D1581" s="12" t="inlineStr">
        <is>
          <t>Escribanas</t>
        </is>
      </c>
      <c r="E1581" s="22" t="n">
        <v>79</v>
      </c>
      <c r="F1581" s="22" t="n">
        <v>8236</v>
      </c>
      <c r="G1581" s="24" t="inlineStr">
        <is>
          <t>https://guiarsanrafael.com.ar/empresa/sanchez-maria-eugenia/</t>
        </is>
      </c>
    </row>
    <row r="1582">
      <c r="A1582" s="19" t="n">
        <v>1581</v>
      </c>
      <c r="B1582" s="20" t="inlineStr">
        <is>
          <t>Sandra Marzzan  Perfumería</t>
        </is>
      </c>
      <c r="C1582" s="14" t="inlineStr">
        <is>
          <t>Perfrumerias cosmeticos cosmetica</t>
        </is>
      </c>
      <c r="D1582" s="14" t="inlineStr">
        <is>
          <t>Cosmetica perfumeria</t>
        </is>
      </c>
      <c r="E1582" s="19" t="n">
        <v>65</v>
      </c>
      <c r="F1582" s="19" t="n">
        <v>8616</v>
      </c>
      <c r="G1582" s="21" t="inlineStr">
        <is>
          <t>https://guiarsanrafael.com.ar/empresa/sandra-marzzan-perfumeria/</t>
        </is>
      </c>
    </row>
    <row r="1583">
      <c r="A1583" s="22" t="n">
        <v>1582</v>
      </c>
      <c r="B1583" s="23" t="inlineStr">
        <is>
          <t>Sandro Suoni</t>
        </is>
      </c>
      <c r="C1583" s="12" t="inlineStr">
        <is>
          <t>Pediatria neonatologia</t>
        </is>
      </c>
      <c r="D1583" s="12" t="inlineStr">
        <is>
          <t>Pediatria y neonatologia</t>
        </is>
      </c>
      <c r="E1583" s="22" t="n">
        <v>146</v>
      </c>
      <c r="F1583" s="22" t="n">
        <v>5482</v>
      </c>
      <c r="G1583" s="24" t="inlineStr">
        <is>
          <t>https://guiarsanrafael.com.ar/empresa/sandro-suoni/</t>
        </is>
      </c>
    </row>
    <row r="1584">
      <c r="A1584" s="19" t="n">
        <v>1583</v>
      </c>
      <c r="B1584" s="20" t="inlineStr">
        <is>
          <t>SANELEC Ferretería</t>
        </is>
      </c>
      <c r="C1584" s="14" t="inlineStr">
        <is>
          <t>Ferreterias herramientas</t>
        </is>
      </c>
      <c r="D1584" s="14" t="inlineStr">
        <is>
          <t>Ferreterias</t>
        </is>
      </c>
      <c r="E1584" s="19" t="n">
        <v>123</v>
      </c>
      <c r="F1584" s="19" t="n">
        <v>6880</v>
      </c>
      <c r="G1584" s="21" t="inlineStr">
        <is>
          <t>https://guiarsanrafael.com.ar/empresa/sanelec-ferreteria/</t>
        </is>
      </c>
    </row>
    <row r="1585">
      <c r="A1585" s="22" t="n">
        <v>1584</v>
      </c>
      <c r="B1585" s="23" t="inlineStr">
        <is>
          <t>SANGUCHETO Moreno</t>
        </is>
      </c>
      <c r="C1585" s="12" t="inlineStr">
        <is>
          <t>Casa de comidas rotiseria viandas</t>
        </is>
      </c>
      <c r="D1585" s="12" t="inlineStr">
        <is>
          <t>Casa de comidas</t>
        </is>
      </c>
      <c r="E1585" s="22" t="n">
        <v>76</v>
      </c>
      <c r="F1585" s="22" t="n">
        <v>8371</v>
      </c>
      <c r="G1585" s="24" t="inlineStr">
        <is>
          <t>https://guiarsanrafael.com.ar/empresa/sangucheto-moreno/</t>
        </is>
      </c>
    </row>
    <row r="1586">
      <c r="A1586" s="19" t="n">
        <v>1585</v>
      </c>
      <c r="B1586" s="20" t="inlineStr">
        <is>
          <t>SANITARIOS ITALIA</t>
        </is>
      </c>
      <c r="C1586" s="14" t="inlineStr">
        <is>
          <t>Griferia sanitarios</t>
        </is>
      </c>
      <c r="D1586" s="14" t="inlineStr">
        <is>
          <t>Griferias</t>
        </is>
      </c>
      <c r="E1586" s="19" t="n">
        <v>179</v>
      </c>
      <c r="F1586" s="19" t="n">
        <v>3937</v>
      </c>
      <c r="G1586" s="21" t="inlineStr">
        <is>
          <t>https://guiarsanrafael.com.ar/empresa/sanitarios-italia/</t>
        </is>
      </c>
    </row>
    <row r="1587">
      <c r="A1587" s="22" t="n">
        <v>1586</v>
      </c>
      <c r="B1587" s="23" t="inlineStr">
        <is>
          <t>SANITARIOS San Rafael</t>
        </is>
      </c>
      <c r="C1587" s="12" t="inlineStr">
        <is>
          <t>Griferia sanitarios</t>
        </is>
      </c>
      <c r="D1587" s="12" t="inlineStr">
        <is>
          <t>Griferias</t>
        </is>
      </c>
      <c r="E1587" s="22" t="n">
        <v>167</v>
      </c>
      <c r="F1587" s="22" t="n">
        <v>4817</v>
      </c>
      <c r="G1587" s="24" t="inlineStr">
        <is>
          <t>https://guiarsanrafael.com.ar/empresa/sanitarios-san-rafael/</t>
        </is>
      </c>
    </row>
    <row r="1588">
      <c r="A1588" s="19" t="n">
        <v>1587</v>
      </c>
      <c r="B1588" s="20" t="inlineStr">
        <is>
          <t>Santa María</t>
        </is>
      </c>
      <c r="C1588" s="14" t="inlineStr">
        <is>
          <t>Ceramicas</t>
        </is>
      </c>
      <c r="D1588" s="14" t="inlineStr">
        <is>
          <t>Ceramicas</t>
        </is>
      </c>
      <c r="E1588" s="19" t="n">
        <v>94</v>
      </c>
      <c r="F1588" s="19" t="n">
        <v>7760</v>
      </c>
      <c r="G1588" s="21" t="inlineStr">
        <is>
          <t>https://guiarsanrafael.com.ar/empresa/santa-maria/</t>
        </is>
      </c>
    </row>
    <row r="1589">
      <c r="A1589" s="22" t="n">
        <v>1588</v>
      </c>
      <c r="B1589" s="23" t="inlineStr">
        <is>
          <t>SANTAGUCHERIA</t>
        </is>
      </c>
      <c r="C1589" s="12" t="inlineStr">
        <is>
          <t>Bares cocteleria</t>
        </is>
      </c>
      <c r="D1589" s="12" t="inlineStr">
        <is>
          <t>Bares</t>
        </is>
      </c>
      <c r="E1589" s="22" t="n">
        <v>182</v>
      </c>
      <c r="F1589" s="22" t="n">
        <v>8364</v>
      </c>
      <c r="G1589" s="24" t="inlineStr">
        <is>
          <t>https://guiarsanrafael.com.ar/empresa/santagucheria/</t>
        </is>
      </c>
    </row>
    <row r="1590">
      <c r="A1590" s="19" t="n">
        <v>1589</v>
      </c>
      <c r="B1590" s="20" t="inlineStr">
        <is>
          <t>Santiago Simón</t>
        </is>
      </c>
      <c r="C1590" s="14" t="inlineStr">
        <is>
          <t>Kinesiologia y fisioterapia</t>
        </is>
      </c>
      <c r="D1590" s="14" t="inlineStr">
        <is>
          <t>Kinesiologia y fisioterapia</t>
        </is>
      </c>
      <c r="E1590" s="19" t="n">
        <v>151</v>
      </c>
      <c r="F1590" s="19" t="n">
        <v>5400</v>
      </c>
      <c r="G1590" s="21" t="inlineStr">
        <is>
          <t>https://guiarsanrafael.com.ar/empresa/santiago-simon/</t>
        </is>
      </c>
    </row>
    <row r="1591">
      <c r="A1591" s="22" t="n">
        <v>1590</v>
      </c>
      <c r="B1591" s="23" t="inlineStr">
        <is>
          <t>SANTINO MUEBLERÍA</t>
        </is>
      </c>
      <c r="C1591" s="12" t="inlineStr">
        <is>
          <t>Amoblamientos</t>
        </is>
      </c>
      <c r="D1591" s="12" t="inlineStr">
        <is>
          <t>Amoblamientos</t>
        </is>
      </c>
      <c r="E1591" s="22" t="n">
        <v>121</v>
      </c>
      <c r="F1591" s="22" t="n">
        <v>7002</v>
      </c>
      <c r="G1591" s="24" t="inlineStr">
        <is>
          <t>https://guiarsanrafael.com.ar/empresa/santino-muebleria/</t>
        </is>
      </c>
    </row>
    <row r="1592">
      <c r="A1592" s="19" t="n">
        <v>1591</v>
      </c>
      <c r="B1592" s="20" t="inlineStr">
        <is>
          <t>SANTOS SEGUROS</t>
        </is>
      </c>
      <c r="C1592" s="14" t="inlineStr">
        <is>
          <t>Productor de seguros</t>
        </is>
      </c>
      <c r="D1592" s="14" t="inlineStr">
        <is>
          <t>Productor de seguros</t>
        </is>
      </c>
      <c r="E1592" s="19" t="n">
        <v>31</v>
      </c>
      <c r="F1592" s="19" t="n">
        <v>10980</v>
      </c>
      <c r="G1592" s="21" t="inlineStr">
        <is>
          <t>https://guiarsanrafael.com.ar/empresa/santos-seguros/</t>
        </is>
      </c>
    </row>
    <row r="1593">
      <c r="A1593" s="22" t="n">
        <v>1592</v>
      </c>
      <c r="B1593" s="23" t="inlineStr">
        <is>
          <t>SAPUNAR Silvina Raquel</t>
        </is>
      </c>
      <c r="C1593" s="12" t="inlineStr">
        <is>
          <t>Escribanias escribanos escribanas mandatario mandataria notarios notarias</t>
        </is>
      </c>
      <c r="D1593" s="12" t="inlineStr">
        <is>
          <t>Escribanas</t>
        </is>
      </c>
      <c r="E1593" s="22" t="n">
        <v>79</v>
      </c>
      <c r="F1593" s="22" t="n">
        <v>8237</v>
      </c>
      <c r="G1593" s="24" t="inlineStr">
        <is>
          <t>https://guiarsanrafael.com.ar/empresa/sapunar-silvina-raquel/</t>
        </is>
      </c>
    </row>
    <row r="1594">
      <c r="A1594" s="19" t="n">
        <v>1593</v>
      </c>
      <c r="B1594" s="20" t="inlineStr">
        <is>
          <t>SARALEGUI Mercedes Andrea</t>
        </is>
      </c>
      <c r="C1594" s="14" t="inlineStr">
        <is>
          <t>Escribanias escribanos escribanas mandatario mandataria notarios notarias</t>
        </is>
      </c>
      <c r="D1594" s="14" t="inlineStr">
        <is>
          <t>Escribanas</t>
        </is>
      </c>
      <c r="E1594" s="19" t="n">
        <v>79</v>
      </c>
      <c r="F1594" s="19" t="n">
        <v>8238</v>
      </c>
      <c r="G1594" s="21" t="inlineStr">
        <is>
          <t>https://guiarsanrafael.com.ar/empresa/saralegui-mercedes-andrea/</t>
        </is>
      </c>
    </row>
    <row r="1595">
      <c r="A1595" s="22" t="n">
        <v>1594</v>
      </c>
      <c r="B1595" s="23" t="inlineStr">
        <is>
          <t>SARDI Dante Pablo</t>
        </is>
      </c>
      <c r="C1595" s="12" t="inlineStr">
        <is>
          <t>Escribanias escribanos escribanas mandatario mandataria notarios notarias</t>
        </is>
      </c>
      <c r="D1595" s="12" t="inlineStr">
        <is>
          <t>Escribanias</t>
        </is>
      </c>
      <c r="E1595" s="22" t="n">
        <v>80</v>
      </c>
      <c r="F1595" s="22" t="n">
        <v>8223</v>
      </c>
      <c r="G1595" s="24" t="inlineStr">
        <is>
          <t>https://guiarsanrafael.com.ar/empresa/rios-castrillon-anibal-ricardo/</t>
        </is>
      </c>
    </row>
    <row r="1596">
      <c r="A1596" s="19" t="n">
        <v>1595</v>
      </c>
      <c r="B1596" s="20" t="inlineStr">
        <is>
          <t>SARTORI Motos y Quads</t>
        </is>
      </c>
      <c r="C1596" s="14" t="inlineStr">
        <is>
          <t>Repuestos de motos</t>
        </is>
      </c>
      <c r="D1596" s="14" t="inlineStr">
        <is>
          <t>Accesorios para motos</t>
        </is>
      </c>
      <c r="E1596" s="19" t="n">
        <v>71</v>
      </c>
      <c r="F1596" s="19" t="n">
        <v>8469</v>
      </c>
      <c r="G1596" s="21" t="inlineStr">
        <is>
          <t>https://guiarsanrafael.com.ar/empresa/sartori-motos-y-quads/</t>
        </is>
      </c>
    </row>
    <row r="1597">
      <c r="A1597" s="22" t="n">
        <v>1596</v>
      </c>
      <c r="B1597" s="23" t="inlineStr">
        <is>
          <t>Sat Anuar Gasim</t>
        </is>
      </c>
      <c r="C1597" s="12" t="inlineStr">
        <is>
          <t>Abogados abogadas estudios juridicos</t>
        </is>
      </c>
      <c r="D1597" s="12" t="inlineStr">
        <is>
          <t>Abogados</t>
        </is>
      </c>
      <c r="E1597" s="22" t="n">
        <v>112</v>
      </c>
      <c r="F1597" s="22" t="n">
        <v>7202</v>
      </c>
      <c r="G1597" s="24" t="inlineStr">
        <is>
          <t>https://guiarsanrafael.com.ar/empresa/sat-anuar-gasim/</t>
        </is>
      </c>
    </row>
    <row r="1598">
      <c r="A1598" s="19" t="n">
        <v>1597</v>
      </c>
      <c r="B1598" s="20" t="inlineStr">
        <is>
          <t>Sat Eraso	Amira Nahir</t>
        </is>
      </c>
      <c r="C1598" s="14" t="inlineStr">
        <is>
          <t>Abogados abogadas estudios juridicos</t>
        </is>
      </c>
      <c r="D1598" s="14" t="inlineStr">
        <is>
          <t>Abogadas</t>
        </is>
      </c>
      <c r="E1598" s="19" t="n">
        <v>110</v>
      </c>
      <c r="F1598" s="19" t="n">
        <v>7222</v>
      </c>
      <c r="G1598" s="21" t="inlineStr">
        <is>
          <t>https://guiarsanrafael.com.ar/empresa/sat-erasoamira-nahir/</t>
        </is>
      </c>
    </row>
    <row r="1599">
      <c r="A1599" s="22" t="n">
        <v>1598</v>
      </c>
      <c r="B1599" s="23" t="inlineStr">
        <is>
          <t>SCANIO Andrea Vanina</t>
        </is>
      </c>
      <c r="C1599" s="12" t="inlineStr">
        <is>
          <t>Escribanias escribanos escribanas mandatario mandataria notarios notarias</t>
        </is>
      </c>
      <c r="D1599" s="12" t="inlineStr">
        <is>
          <t>Escribanas</t>
        </is>
      </c>
      <c r="E1599" s="22" t="n">
        <v>80</v>
      </c>
      <c r="F1599" s="22" t="n">
        <v>8225</v>
      </c>
      <c r="G1599" s="24" t="inlineStr">
        <is>
          <t>https://guiarsanrafael.com.ar/empresa/scanio-andrea-vanina/</t>
        </is>
      </c>
    </row>
    <row r="1600">
      <c r="A1600" s="19" t="n">
        <v>1599</v>
      </c>
      <c r="B1600" s="20" t="inlineStr">
        <is>
          <t>SCOLLO Andrea Fabiola</t>
        </is>
      </c>
      <c r="C1600" s="14" t="inlineStr">
        <is>
          <t>Escribanias escribanos escribanas mandatario mandataria notarios notarias</t>
        </is>
      </c>
      <c r="D1600" s="14" t="inlineStr">
        <is>
          <t>Escribanas</t>
        </is>
      </c>
      <c r="E1600" s="19" t="n">
        <v>79</v>
      </c>
      <c r="F1600" s="19" t="n">
        <v>8234</v>
      </c>
      <c r="G1600" s="21" t="inlineStr">
        <is>
          <t>https://guiarsanrafael.com.ar/empresa/scollo-andrea-fabiola/</t>
        </is>
      </c>
    </row>
    <row r="1601">
      <c r="A1601" s="22" t="n">
        <v>1600</v>
      </c>
      <c r="B1601" s="23" t="inlineStr">
        <is>
          <t>SEBASTIAN BIURRUM</t>
        </is>
      </c>
      <c r="C1601" s="12" t="inlineStr">
        <is>
          <t>Clinica medica</t>
        </is>
      </c>
      <c r="D1601" s="12" t="inlineStr">
        <is>
          <t>Urologia</t>
        </is>
      </c>
      <c r="E1601" s="22" t="n">
        <v>128</v>
      </c>
      <c r="F1601" s="22" t="n">
        <v>6484</v>
      </c>
      <c r="G1601" s="24" t="inlineStr">
        <is>
          <t>https://guiarsanrafael.com.ar/empresa/sebastian-biurrum/</t>
        </is>
      </c>
    </row>
    <row r="1602">
      <c r="A1602" s="19" t="n">
        <v>1601</v>
      </c>
      <c r="B1602" s="20" t="inlineStr">
        <is>
          <t>Secretos del Monte</t>
        </is>
      </c>
      <c r="C1602" s="14" t="inlineStr">
        <is>
          <t>Artesanias</t>
        </is>
      </c>
      <c r="D1602" s="14" t="inlineStr">
        <is>
          <t>Artesanias</t>
        </is>
      </c>
      <c r="E1602" s="19" t="n">
        <v>52</v>
      </c>
      <c r="F1602" s="19" t="n">
        <v>9279</v>
      </c>
      <c r="G1602" s="21" t="inlineStr">
        <is>
          <t>https://guiarsanrafael.com.ar/empresa/secretos-del-monte/</t>
        </is>
      </c>
    </row>
    <row r="1603">
      <c r="A1603" s="22" t="n">
        <v>1602</v>
      </c>
      <c r="B1603" s="23" t="inlineStr">
        <is>
          <t>SED Seguridad Electrónica Digital</t>
        </is>
      </c>
      <c r="C1603" s="12" t="inlineStr">
        <is>
          <t>Alarmas</t>
        </is>
      </c>
      <c r="D1603" s="12" t="inlineStr">
        <is>
          <t>Alarmas</t>
        </is>
      </c>
      <c r="E1603" s="22" t="n">
        <v>68</v>
      </c>
      <c r="F1603" s="22" t="n">
        <v>8490</v>
      </c>
      <c r="G1603" s="24" t="inlineStr">
        <is>
          <t>https://guiarsanrafael.com.ar/empresa/sed-seguridad-electronica-digital/</t>
        </is>
      </c>
    </row>
    <row r="1604">
      <c r="A1604" s="19" t="n">
        <v>1603</v>
      </c>
      <c r="B1604" s="20" t="inlineStr">
        <is>
          <t>SEI TU Heladeria San Rafael</t>
        </is>
      </c>
      <c r="C1604" s="14" t="inlineStr">
        <is>
          <t>Heladerias postres</t>
        </is>
      </c>
      <c r="D1604" s="14" t="inlineStr">
        <is>
          <t>Heladerias</t>
        </is>
      </c>
      <c r="E1604" s="19" t="n">
        <v>1</v>
      </c>
      <c r="F1604" s="19" t="n">
        <v>15228</v>
      </c>
      <c r="G1604" s="21" t="inlineStr">
        <is>
          <t>https://guiarsanrafael.com.ar/empresa/sei-tu-heladeria-san-rafael/</t>
        </is>
      </c>
    </row>
    <row r="1605">
      <c r="A1605" s="22" t="n">
        <v>1604</v>
      </c>
      <c r="B1605" s="23" t="inlineStr">
        <is>
          <t>Sergio Buttini</t>
        </is>
      </c>
      <c r="C1605" s="12" t="inlineStr">
        <is>
          <t>Odontologia</t>
        </is>
      </c>
      <c r="D1605" s="12" t="inlineStr">
        <is>
          <t>Odontologia</t>
        </is>
      </c>
      <c r="E1605" s="22" t="n">
        <v>104</v>
      </c>
      <c r="F1605" s="22" t="n">
        <v>7368</v>
      </c>
      <c r="G1605" s="24" t="inlineStr">
        <is>
          <t>https://guiarsanrafael.com.ar/empresa/sergio-buttini/</t>
        </is>
      </c>
    </row>
    <row r="1606">
      <c r="A1606" s="19" t="n">
        <v>1605</v>
      </c>
      <c r="B1606" s="20" t="inlineStr">
        <is>
          <t>SERGIO CIARDULLO</t>
        </is>
      </c>
      <c r="C1606" s="14" t="inlineStr">
        <is>
          <t>Pediatria neonatologia</t>
        </is>
      </c>
      <c r="D1606" s="14" t="inlineStr">
        <is>
          <t>Pediatria y neonatologia</t>
        </is>
      </c>
      <c r="E1606" s="19" t="n">
        <v>127</v>
      </c>
      <c r="F1606" s="19" t="n">
        <v>6531</v>
      </c>
      <c r="G1606" s="21" t="inlineStr">
        <is>
          <t>https://guiarsanrafael.com.ar/empresa/sergio-ciardullo/</t>
        </is>
      </c>
    </row>
    <row r="1607">
      <c r="A1607" s="22" t="n">
        <v>1606</v>
      </c>
      <c r="B1607" s="23" t="inlineStr">
        <is>
          <t>Sergio Espinosa</t>
        </is>
      </c>
      <c r="C1607" s="12" t="inlineStr">
        <is>
          <t>Ginecologia y obsterticia</t>
        </is>
      </c>
      <c r="D1607" s="12" t="inlineStr">
        <is>
          <t>Ginecologia y obsterticia</t>
        </is>
      </c>
      <c r="E1607" s="22" t="n">
        <v>155</v>
      </c>
      <c r="F1607" s="22" t="n">
        <v>5336</v>
      </c>
      <c r="G1607" s="24" t="inlineStr">
        <is>
          <t>https://guiarsanrafael.com.ar/empresa/sergio-espinosa/</t>
        </is>
      </c>
    </row>
    <row r="1608">
      <c r="A1608" s="19" t="n">
        <v>1607</v>
      </c>
      <c r="B1608" s="20" t="inlineStr">
        <is>
          <t>Sergio Molina</t>
        </is>
      </c>
      <c r="C1608" s="14" t="inlineStr">
        <is>
          <t>Pediatria neonatologia</t>
        </is>
      </c>
      <c r="D1608" s="14" t="inlineStr">
        <is>
          <t>Pediatria y neonatologia</t>
        </is>
      </c>
      <c r="E1608" s="19" t="n">
        <v>146</v>
      </c>
      <c r="F1608" s="19" t="n">
        <v>5478</v>
      </c>
      <c r="G1608" s="21" t="inlineStr">
        <is>
          <t>https://guiarsanrafael.com.ar/empresa/sergio-molina/</t>
        </is>
      </c>
    </row>
    <row r="1609">
      <c r="A1609" s="22" t="n">
        <v>1608</v>
      </c>
      <c r="B1609" s="23" t="inlineStr">
        <is>
          <t>Sergio Omar Lana San Blas</t>
        </is>
      </c>
      <c r="C1609" s="12" t="inlineStr">
        <is>
          <t>Escribanias escribanos escribanas mandatario mandataria notarios notarias</t>
        </is>
      </c>
      <c r="D1609" s="12" t="inlineStr">
        <is>
          <t>Escribanias</t>
        </is>
      </c>
      <c r="E1609" s="22" t="n">
        <v>89</v>
      </c>
      <c r="F1609" s="22" t="n">
        <v>7925</v>
      </c>
      <c r="G1609" s="24" t="inlineStr">
        <is>
          <t>https://guiarsanrafael.com.ar/empresa/sergio-omar-lana-san-blas/</t>
        </is>
      </c>
    </row>
    <row r="1610">
      <c r="A1610" s="19" t="n">
        <v>1609</v>
      </c>
      <c r="B1610" s="20" t="inlineStr">
        <is>
          <t>SERGIO R. FERNANDEZ</t>
        </is>
      </c>
      <c r="C1610" s="14" t="inlineStr">
        <is>
          <t>Psiquiatria</t>
        </is>
      </c>
      <c r="D1610" s="14" t="inlineStr">
        <is>
          <t>Psiquiatria</t>
        </is>
      </c>
      <c r="E1610" s="19" t="n">
        <v>136</v>
      </c>
      <c r="F1610" s="19" t="n">
        <v>5968</v>
      </c>
      <c r="G1610" s="21" t="inlineStr">
        <is>
          <t>https://guiarsanrafael.com.ar/empresa/5968/</t>
        </is>
      </c>
    </row>
    <row r="1611">
      <c r="A1611" s="22" t="n">
        <v>1610</v>
      </c>
      <c r="B1611" s="23" t="inlineStr">
        <is>
          <t>Sergio Sabio</t>
        </is>
      </c>
      <c r="C1611" s="12" t="inlineStr">
        <is>
          <t>Odontologia</t>
        </is>
      </c>
      <c r="D1611" s="12" t="inlineStr">
        <is>
          <t>Odontologia</t>
        </is>
      </c>
      <c r="E1611" s="22" t="n">
        <v>99</v>
      </c>
      <c r="F1611" s="22" t="n">
        <v>7464</v>
      </c>
      <c r="G1611" s="24" t="inlineStr">
        <is>
          <t>https://guiarsanrafael.com.ar/empresa/sergio-sabio/</t>
        </is>
      </c>
    </row>
    <row r="1612">
      <c r="A1612" s="19" t="n">
        <v>1611</v>
      </c>
      <c r="B1612" s="20" t="inlineStr">
        <is>
          <t>SERVICAR Autoelevadores</t>
        </is>
      </c>
      <c r="C1612" s="14" t="inlineStr">
        <is>
          <t>Autoelevadores</t>
        </is>
      </c>
      <c r="D1612" s="14" t="inlineStr">
        <is>
          <t>(sin ubicación)</t>
        </is>
      </c>
      <c r="E1612" s="19" t="n">
        <v>61</v>
      </c>
      <c r="F1612" s="19" t="n">
        <v>8790</v>
      </c>
      <c r="G1612" s="21" t="inlineStr">
        <is>
          <t>https://guiarsanrafael.com.ar/empresa/servica-autoelevadores/</t>
        </is>
      </c>
    </row>
    <row r="1613">
      <c r="A1613" s="22" t="n">
        <v>1612</v>
      </c>
      <c r="B1613" s="23" t="inlineStr">
        <is>
          <t>SEÑOR MATAFUEGO</t>
        </is>
      </c>
      <c r="C1613" s="12" t="inlineStr">
        <is>
          <t>Matafuegos</t>
        </is>
      </c>
      <c r="D1613" s="12" t="inlineStr">
        <is>
          <t>Matafuegos</t>
        </is>
      </c>
      <c r="E1613" s="22" t="n">
        <v>141</v>
      </c>
      <c r="F1613" s="22" t="n">
        <v>5570</v>
      </c>
      <c r="G1613" s="24" t="inlineStr">
        <is>
          <t>https://guiarsanrafael.com.ar/empresa/senor-matafuego/</t>
        </is>
      </c>
    </row>
    <row r="1614">
      <c r="A1614" s="19" t="n">
        <v>1613</v>
      </c>
      <c r="B1614" s="20" t="inlineStr">
        <is>
          <t>Shopping del Panadero</t>
        </is>
      </c>
      <c r="C1614" s="14" t="inlineStr">
        <is>
          <t>Distribuidoras</t>
        </is>
      </c>
      <c r="D1614" s="14" t="inlineStr">
        <is>
          <t>Equipamientos comerciales</t>
        </is>
      </c>
      <c r="E1614" s="19" t="n">
        <v>63</v>
      </c>
      <c r="F1614" s="19" t="n">
        <v>8674</v>
      </c>
      <c r="G1614" s="21" t="inlineStr">
        <is>
          <t>https://guiarsanrafael.com.ar/empresa/shopping-del-panadero/</t>
        </is>
      </c>
    </row>
    <row r="1615">
      <c r="A1615" s="22" t="n">
        <v>1614</v>
      </c>
      <c r="B1615" s="23" t="inlineStr">
        <is>
          <t>SIA Servicio Integral del Automotor</t>
        </is>
      </c>
      <c r="C1615" s="12" t="inlineStr">
        <is>
          <t>Alineacion y balanceo</t>
        </is>
      </c>
      <c r="D1615" s="12" t="inlineStr">
        <is>
          <t>Alineacion y balanceo</t>
        </is>
      </c>
      <c r="E1615" s="22" t="n">
        <v>24</v>
      </c>
      <c r="F1615" s="22" t="n">
        <v>11793</v>
      </c>
      <c r="G1615" s="24" t="inlineStr">
        <is>
          <t>https://guiarsanrafael.com.ar/empresa/sia-servicio-integral-del-automotor/</t>
        </is>
      </c>
    </row>
    <row r="1616">
      <c r="A1616" s="19" t="n">
        <v>1615</v>
      </c>
      <c r="B1616" s="20" t="inlineStr">
        <is>
          <t>SIDOTI Danisa</t>
        </is>
      </c>
      <c r="C1616" s="14" t="inlineStr">
        <is>
          <t>Escribanias escribanos escribanas mandatario mandataria notarios notarias</t>
        </is>
      </c>
      <c r="D1616" s="14" t="inlineStr">
        <is>
          <t>Escribanas</t>
        </is>
      </c>
      <c r="E1616" s="19" t="n">
        <v>78</v>
      </c>
      <c r="F1616" s="19" t="n">
        <v>8242</v>
      </c>
      <c r="G1616" s="21" t="inlineStr">
        <is>
          <t>https://guiarsanrafael.com.ar/empresa/sidoti-danisa/</t>
        </is>
      </c>
    </row>
    <row r="1617">
      <c r="A1617" s="22" t="n">
        <v>1616</v>
      </c>
      <c r="B1617" s="23" t="inlineStr">
        <is>
          <t>Sierra Diego Martin</t>
        </is>
      </c>
      <c r="C1617" s="12" t="inlineStr">
        <is>
          <t>Abogados abogadas estudios juridicos</t>
        </is>
      </c>
      <c r="D1617" s="12" t="inlineStr">
        <is>
          <t>Abogados</t>
        </is>
      </c>
      <c r="E1617" s="22" t="n">
        <v>119</v>
      </c>
      <c r="F1617" s="22" t="n">
        <v>7119</v>
      </c>
      <c r="G1617" s="24" t="inlineStr">
        <is>
          <t>https://guiarsanrafael.com.ar/empresa/sierra-diego-martin/</t>
        </is>
      </c>
    </row>
    <row r="1618">
      <c r="A1618" s="19" t="n">
        <v>1617</v>
      </c>
      <c r="B1618" s="20" t="inlineStr">
        <is>
          <t>SIERRA Electricidad &amp; Iluminación</t>
        </is>
      </c>
      <c r="C1618" s="14" t="inlineStr">
        <is>
          <t>Electricidad iluminacion</t>
        </is>
      </c>
      <c r="D1618" s="14" t="inlineStr">
        <is>
          <t>Electricidad</t>
        </is>
      </c>
      <c r="E1618" s="19" t="n">
        <v>165</v>
      </c>
      <c r="F1618" s="19" t="n">
        <v>4987</v>
      </c>
      <c r="G1618" s="21" t="inlineStr">
        <is>
          <t>https://guiarsanrafael.com.ar/empresa/sierra-iluminacion/</t>
        </is>
      </c>
    </row>
    <row r="1619">
      <c r="A1619" s="22" t="n">
        <v>1618</v>
      </c>
      <c r="B1619" s="23" t="inlineStr">
        <is>
          <t>SILVANA L. ARCE</t>
        </is>
      </c>
      <c r="C1619" s="12" t="inlineStr">
        <is>
          <t>Abogados abogadas estudios juridicos</t>
        </is>
      </c>
      <c r="D1619" s="12" t="inlineStr">
        <is>
          <t>Abogadas</t>
        </is>
      </c>
      <c r="E1619" s="22" t="n">
        <v>89</v>
      </c>
      <c r="F1619" s="22" t="n">
        <v>7949</v>
      </c>
      <c r="G1619" s="24" t="inlineStr">
        <is>
          <t>https://guiarsanrafael.com.ar/empresa/silvana-l-arce/</t>
        </is>
      </c>
    </row>
    <row r="1620">
      <c r="A1620" s="19" t="n">
        <v>1619</v>
      </c>
      <c r="B1620" s="20" t="inlineStr">
        <is>
          <t>SILVANA QUINTANO</t>
        </is>
      </c>
      <c r="C1620" s="14" t="inlineStr">
        <is>
          <t>Odontologia</t>
        </is>
      </c>
      <c r="D1620" s="14" t="inlineStr">
        <is>
          <t>Implantes</t>
        </is>
      </c>
      <c r="E1620" s="19" t="n">
        <v>127</v>
      </c>
      <c r="F1620" s="19" t="n">
        <v>6565</v>
      </c>
      <c r="G1620" s="21" t="inlineStr">
        <is>
          <t>https://guiarsanrafael.com.ar/empresa/silvana-quintano/</t>
        </is>
      </c>
    </row>
    <row r="1621">
      <c r="A1621" s="22" t="n">
        <v>1620</v>
      </c>
      <c r="B1621" s="23" t="inlineStr">
        <is>
          <t>Silvana Rodríguez</t>
        </is>
      </c>
      <c r="C1621" s="12" t="inlineStr">
        <is>
          <t>Clinica medica</t>
        </is>
      </c>
      <c r="D1621" s="12" t="inlineStr">
        <is>
          <t>Clinica medica</t>
        </is>
      </c>
      <c r="E1621" s="22" t="n">
        <v>159</v>
      </c>
      <c r="F1621" s="22" t="n">
        <v>5290</v>
      </c>
      <c r="G1621" s="24" t="inlineStr">
        <is>
          <t>https://guiarsanrafael.com.ar/empresa/silvana-rodriguez/</t>
        </is>
      </c>
    </row>
    <row r="1622">
      <c r="A1622" s="19" t="n">
        <v>1621</v>
      </c>
      <c r="B1622" s="20" t="inlineStr">
        <is>
          <t>SILVIA FIGUEROA Estilista</t>
        </is>
      </c>
      <c r="C1622" s="14" t="inlineStr">
        <is>
          <t>Estilistas peluqueria barberias</t>
        </is>
      </c>
      <c r="D1622" s="14" t="inlineStr">
        <is>
          <t>Estilistas</t>
        </is>
      </c>
      <c r="E1622" s="19" t="n">
        <v>168</v>
      </c>
      <c r="F1622" s="19" t="n">
        <v>4733</v>
      </c>
      <c r="G1622" s="21" t="inlineStr">
        <is>
          <t>https://guiarsanrafael.com.ar/empresa/silvia-figueroa-estilista/</t>
        </is>
      </c>
    </row>
    <row r="1623">
      <c r="A1623" s="22" t="n">
        <v>1622</v>
      </c>
      <c r="B1623" s="23" t="inlineStr">
        <is>
          <t>SILVINA FORNES</t>
        </is>
      </c>
      <c r="C1623" s="12" t="inlineStr">
        <is>
          <t>Escribanias escribanos escribanas mandatario mandataria notarios notarias</t>
        </is>
      </c>
      <c r="D1623" s="12" t="inlineStr">
        <is>
          <t>Escribanas</t>
        </is>
      </c>
      <c r="E1623" s="22" t="n">
        <v>77</v>
      </c>
      <c r="F1623" s="22" t="n">
        <v>8315</v>
      </c>
      <c r="G1623" s="24" t="inlineStr">
        <is>
          <t>https://guiarsanrafael.com.ar/empresa/silvina-fornes/</t>
        </is>
      </c>
    </row>
    <row r="1624">
      <c r="A1624" s="19" t="n">
        <v>1623</v>
      </c>
      <c r="B1624" s="20" t="inlineStr">
        <is>
          <t>SILVINA MERIELA PEREZ</t>
        </is>
      </c>
      <c r="C1624" s="14" t="inlineStr">
        <is>
          <t>Protesistas protesis</t>
        </is>
      </c>
      <c r="D1624" s="14" t="inlineStr">
        <is>
          <t>Laboratorio dental</t>
        </is>
      </c>
      <c r="E1624" s="19" t="n">
        <v>123</v>
      </c>
      <c r="F1624" s="19" t="n">
        <v>6873</v>
      </c>
      <c r="G1624" s="21" t="inlineStr">
        <is>
          <t>https://guiarsanrafael.com.ar/empresa/silvina-meriela-perez/</t>
        </is>
      </c>
    </row>
    <row r="1625">
      <c r="A1625" s="22" t="n">
        <v>1624</v>
      </c>
      <c r="B1625" s="23" t="inlineStr">
        <is>
          <t>SILVINA MURCIA Estudio de Danzas</t>
        </is>
      </c>
      <c r="C1625" s="12" t="inlineStr">
        <is>
          <t>Academia</t>
        </is>
      </c>
      <c r="D1625" s="12" t="inlineStr">
        <is>
          <t>Academias</t>
        </is>
      </c>
      <c r="E1625" s="22" t="n">
        <v>29</v>
      </c>
      <c r="F1625" s="22" t="n">
        <v>11188</v>
      </c>
      <c r="G1625" s="24" t="inlineStr">
        <is>
          <t>https://guiarsanrafael.com.ar/empresa/silvina-murcia-estudio-de-danzas/</t>
        </is>
      </c>
    </row>
    <row r="1626">
      <c r="A1626" s="19" t="n">
        <v>1625</v>
      </c>
      <c r="B1626" s="20" t="inlineStr">
        <is>
          <t>SIMON GOTTERO estilista</t>
        </is>
      </c>
      <c r="C1626" s="14" t="inlineStr">
        <is>
          <t>Barberias peluqueria barberos</t>
        </is>
      </c>
      <c r="D1626" s="14" t="inlineStr">
        <is>
          <t>Barberias</t>
        </is>
      </c>
      <c r="E1626" s="19" t="n">
        <v>61</v>
      </c>
      <c r="F1626" s="19" t="n">
        <v>8751</v>
      </c>
      <c r="G1626" s="21" t="inlineStr">
        <is>
          <t>https://guiarsanrafael.com.ar/empresa/simon-gottero-estilista/</t>
        </is>
      </c>
    </row>
    <row r="1627">
      <c r="A1627" s="22" t="n">
        <v>1626</v>
      </c>
      <c r="B1627" s="23" t="inlineStr">
        <is>
          <t>SIMONA Pastelería &amp; Panadería</t>
        </is>
      </c>
      <c r="C1627" s="12" t="inlineStr">
        <is>
          <t>Confiterias reposteria</t>
        </is>
      </c>
      <c r="D1627" s="12" t="inlineStr">
        <is>
          <t>Confiteria</t>
        </is>
      </c>
      <c r="E1627" s="22" t="n">
        <v>3</v>
      </c>
      <c r="F1627" s="22" t="n">
        <v>14728</v>
      </c>
      <c r="G1627" s="24" t="inlineStr">
        <is>
          <t>https://guiarsanrafael.com.ar/empresa/simona-pasteleria-panaderia/</t>
        </is>
      </c>
    </row>
    <row r="1628">
      <c r="A1628" s="19" t="n">
        <v>1627</v>
      </c>
      <c r="B1628" s="20" t="inlineStr">
        <is>
          <t>SINERGIA Academia</t>
        </is>
      </c>
      <c r="C1628" s="14" t="inlineStr">
        <is>
          <t>Academia</t>
        </is>
      </c>
      <c r="D1628" s="14" t="inlineStr">
        <is>
          <t>Academias</t>
        </is>
      </c>
      <c r="E1628" s="19" t="n">
        <v>136</v>
      </c>
      <c r="F1628" s="19" t="n">
        <v>5925</v>
      </c>
      <c r="G1628" s="21" t="inlineStr">
        <is>
          <t>https://guiarsanrafael.com.ar/empresa/sinergia-academia/</t>
        </is>
      </c>
    </row>
    <row r="1629">
      <c r="A1629" s="22" t="n">
        <v>1628</v>
      </c>
      <c r="B1629" s="23" t="inlineStr">
        <is>
          <t>SINERGIA Insumos de Peluquería</t>
        </is>
      </c>
      <c r="C1629" s="12" t="inlineStr">
        <is>
          <t>Insumos para estetica</t>
        </is>
      </c>
      <c r="D1629" s="12" t="inlineStr">
        <is>
          <t>Insumos para estetica</t>
        </is>
      </c>
      <c r="E1629" s="22" t="n">
        <v>136</v>
      </c>
      <c r="F1629" s="22" t="n">
        <v>5942</v>
      </c>
      <c r="G1629" s="24" t="inlineStr">
        <is>
          <t>https://guiarsanrafael.com.ar/empresa/sinergia-insumos-de-peluqueria/</t>
        </is>
      </c>
    </row>
    <row r="1630">
      <c r="A1630" s="19" t="n">
        <v>1629</v>
      </c>
      <c r="B1630" s="20" t="inlineStr">
        <is>
          <t>SINICH Lubricantes y Accesorios</t>
        </is>
      </c>
      <c r="C1630" s="14" t="inlineStr">
        <is>
          <t>Lubricantes aceites lubricentro</t>
        </is>
      </c>
      <c r="D1630" s="14" t="inlineStr">
        <is>
          <t>(sin ubicación)</t>
        </is>
      </c>
      <c r="E1630" s="19" t="n">
        <v>49</v>
      </c>
      <c r="F1630" s="19" t="n">
        <v>9370</v>
      </c>
      <c r="G1630" s="21" t="inlineStr">
        <is>
          <t>https://guiarsanrafael.com.ar/empresa/sinich-lubricantes/</t>
        </is>
      </c>
    </row>
    <row r="1631">
      <c r="A1631" s="22" t="n">
        <v>1630</v>
      </c>
      <c r="B1631" s="23" t="inlineStr">
        <is>
          <t>SM Motos Repuestos &amp; Mecanica</t>
        </is>
      </c>
      <c r="C1631" s="12" t="inlineStr">
        <is>
          <t>Mecanica de motos</t>
        </is>
      </c>
      <c r="D1631" s="12" t="inlineStr">
        <is>
          <t>Accesorios para motos</t>
        </is>
      </c>
      <c r="E1631" s="22" t="n">
        <v>72</v>
      </c>
      <c r="F1631" s="22" t="n">
        <v>8442</v>
      </c>
      <c r="G1631" s="24" t="inlineStr">
        <is>
          <t>https://guiarsanrafael.com.ar/empresa/sm-motos/</t>
        </is>
      </c>
    </row>
    <row r="1632">
      <c r="A1632" s="19" t="n">
        <v>1631</v>
      </c>
      <c r="B1632" s="20" t="inlineStr">
        <is>
          <t>Smoke Burgers Grill</t>
        </is>
      </c>
      <c r="C1632" s="14" t="inlineStr">
        <is>
          <t>Casa de comidas rotiseria viandas</t>
        </is>
      </c>
      <c r="D1632" s="14" t="inlineStr">
        <is>
          <t>Restaurantes</t>
        </is>
      </c>
      <c r="E1632" s="19" t="n">
        <v>36</v>
      </c>
      <c r="F1632" s="19" t="n">
        <v>10268</v>
      </c>
      <c r="G1632" s="21" t="inlineStr">
        <is>
          <t>https://guiarsanrafael.com.ar/empresa/smoke-burgers-grill/</t>
        </is>
      </c>
    </row>
    <row r="1633">
      <c r="A1633" s="22" t="n">
        <v>1632</v>
      </c>
      <c r="B1633" s="23" t="inlineStr">
        <is>
          <t>SOFIA COSTA AHUMADA</t>
        </is>
      </c>
      <c r="C1633" s="12" t="inlineStr">
        <is>
          <t>Abogados abogadas estudios juridicos</t>
        </is>
      </c>
      <c r="D1633" s="12" t="inlineStr">
        <is>
          <t>Abogadas</t>
        </is>
      </c>
      <c r="E1633" s="22" t="n">
        <v>23</v>
      </c>
      <c r="F1633" s="22" t="n">
        <v>11912</v>
      </c>
      <c r="G1633" s="24" t="inlineStr">
        <is>
          <t>https://guiarsanrafael.com.ar/empresa/sofia-costa-ahumada/</t>
        </is>
      </c>
    </row>
    <row r="1634">
      <c r="A1634" s="19" t="n">
        <v>1633</v>
      </c>
      <c r="B1634" s="20" t="inlineStr">
        <is>
          <t>Sofia Estivill</t>
        </is>
      </c>
      <c r="C1634" s="14" t="inlineStr">
        <is>
          <t>Odontologia</t>
        </is>
      </c>
      <c r="D1634" s="14" t="inlineStr">
        <is>
          <t>Odontologia</t>
        </is>
      </c>
      <c r="E1634" s="19" t="n">
        <v>103</v>
      </c>
      <c r="F1634" s="19" t="n">
        <v>7378</v>
      </c>
      <c r="G1634" s="21" t="inlineStr">
        <is>
          <t>https://guiarsanrafael.com.ar/empresa/sofia-estivill/</t>
        </is>
      </c>
    </row>
    <row r="1635">
      <c r="A1635" s="22" t="n">
        <v>1634</v>
      </c>
      <c r="B1635" s="23" t="inlineStr">
        <is>
          <t>Sofia Llach</t>
        </is>
      </c>
      <c r="C1635" s="12" t="inlineStr">
        <is>
          <t>Kinesiologia y fisioterapia</t>
        </is>
      </c>
      <c r="D1635" s="12" t="inlineStr">
        <is>
          <t>Kinesiologia y fisioterapia</t>
        </is>
      </c>
      <c r="E1635" s="22" t="n">
        <v>152</v>
      </c>
      <c r="F1635" s="22" t="n">
        <v>5393</v>
      </c>
      <c r="G1635" s="24" t="inlineStr">
        <is>
          <t>https://guiarsanrafael.com.ar/empresa/sofia-llach/</t>
        </is>
      </c>
    </row>
    <row r="1636">
      <c r="A1636" s="19" t="n">
        <v>1635</v>
      </c>
      <c r="B1636" s="20" t="inlineStr">
        <is>
          <t>SOFIA PASTOR</t>
        </is>
      </c>
      <c r="C1636" s="14" t="inlineStr">
        <is>
          <t>Implantes</t>
        </is>
      </c>
      <c r="D1636" s="14" t="inlineStr">
        <is>
          <t>Implantes</t>
        </is>
      </c>
      <c r="E1636" s="19" t="n">
        <v>100</v>
      </c>
      <c r="F1636" s="19" t="n">
        <v>7457</v>
      </c>
      <c r="G1636" s="21" t="inlineStr">
        <is>
          <t>https://guiarsanrafael.com.ar/empresa/sofia-pastor/</t>
        </is>
      </c>
    </row>
    <row r="1637">
      <c r="A1637" s="22" t="n">
        <v>1636</v>
      </c>
      <c r="B1637" s="23" t="inlineStr">
        <is>
          <t>SOFÍA GALDON</t>
        </is>
      </c>
      <c r="C1637" s="12" t="inlineStr">
        <is>
          <t>Kinesiologia y fisioterapia</t>
        </is>
      </c>
      <c r="D1637" s="12" t="inlineStr">
        <is>
          <t>Hidroterapia</t>
        </is>
      </c>
      <c r="E1637" s="22" t="n">
        <v>153</v>
      </c>
      <c r="F1637" s="22" t="n">
        <v>5385</v>
      </c>
      <c r="G1637" s="24" t="inlineStr">
        <is>
          <t>https://guiarsanrafael.com.ar/empresa/sofia-galdon/</t>
        </is>
      </c>
    </row>
    <row r="1638">
      <c r="A1638" s="19" t="n">
        <v>1637</v>
      </c>
      <c r="B1638" s="20" t="inlineStr">
        <is>
          <t>SOL MAYOR Instituto de Música</t>
        </is>
      </c>
      <c r="C1638" s="14" t="inlineStr">
        <is>
          <t>Institutos de musica</t>
        </is>
      </c>
      <c r="D1638" s="14" t="inlineStr">
        <is>
          <t>Academias</t>
        </is>
      </c>
      <c r="E1638" s="19" t="n">
        <v>128</v>
      </c>
      <c r="F1638" s="19" t="n">
        <v>6514</v>
      </c>
      <c r="G1638" s="21" t="inlineStr">
        <is>
          <t>https://guiarsanrafael.com.ar/empresa/sol-mayor-instituto-de-musica/</t>
        </is>
      </c>
    </row>
    <row r="1639">
      <c r="A1639" s="22" t="n">
        <v>1638</v>
      </c>
      <c r="B1639" s="23" t="inlineStr">
        <is>
          <t>SOLAR MENDOZA San Rafael</t>
        </is>
      </c>
      <c r="C1639" s="12" t="inlineStr">
        <is>
          <t>Bombas de agua riego</t>
        </is>
      </c>
      <c r="D1639" s="12" t="inlineStr">
        <is>
          <t>Bombas de agua</t>
        </is>
      </c>
      <c r="E1639" s="22" t="n">
        <v>18</v>
      </c>
      <c r="F1639" s="22" t="n">
        <v>12480</v>
      </c>
      <c r="G1639" s="24" t="inlineStr">
        <is>
          <t>https://guiarsanrafael.com.ar/empresa/solar-mendoza-san-rafael/</t>
        </is>
      </c>
    </row>
    <row r="1640">
      <c r="A1640" s="19" t="n">
        <v>1639</v>
      </c>
      <c r="B1640" s="20" t="inlineStr">
        <is>
          <t>SOLDIER Suplementación Deportiva</t>
        </is>
      </c>
      <c r="C1640" s="14" t="inlineStr">
        <is>
          <t>Gimnasios gym</t>
        </is>
      </c>
      <c r="D1640" s="14" t="inlineStr">
        <is>
          <t>Gimnasios</t>
        </is>
      </c>
      <c r="E1640" s="19" t="n">
        <v>31</v>
      </c>
      <c r="F1640" s="19" t="n">
        <v>10904</v>
      </c>
      <c r="G1640" s="21" t="inlineStr">
        <is>
          <t>https://guiarsanrafael.com.ar/empresa/soldier-suplementacion-deportiva/</t>
        </is>
      </c>
    </row>
    <row r="1641">
      <c r="A1641" s="22" t="n">
        <v>1640</v>
      </c>
      <c r="B1641" s="23" t="inlineStr">
        <is>
          <t>Soleado Departamentos</t>
        </is>
      </c>
      <c r="C1641" s="12" t="inlineStr">
        <is>
          <t>Alojamiento cabanas camping</t>
        </is>
      </c>
      <c r="D1641" s="12" t="inlineStr">
        <is>
          <t>Alojamientos</t>
        </is>
      </c>
      <c r="E1641" s="22" t="n">
        <v>58</v>
      </c>
      <c r="F1641" s="22" t="n">
        <v>8944</v>
      </c>
      <c r="G1641" s="24" t="inlineStr">
        <is>
          <t>https://guiarsanrafael.com.ar/empresa/soleado-departamentos/</t>
        </is>
      </c>
    </row>
    <row r="1642">
      <c r="A1642" s="19" t="n">
        <v>1641</v>
      </c>
      <c r="B1642" s="20" t="inlineStr">
        <is>
          <t>SOLEDAD ACOSTA</t>
        </is>
      </c>
      <c r="C1642" s="14" t="inlineStr">
        <is>
          <t>Clinica medica</t>
        </is>
      </c>
      <c r="D1642" s="14" t="inlineStr">
        <is>
          <t>Clinica medica</t>
        </is>
      </c>
      <c r="E1642" s="19" t="n">
        <v>160</v>
      </c>
      <c r="F1642" s="19" t="n">
        <v>5276</v>
      </c>
      <c r="G1642" s="21" t="inlineStr">
        <is>
          <t>https://guiarsanrafael.com.ar/empresa/acosta-maria-c-soledad-cday-866/</t>
        </is>
      </c>
    </row>
    <row r="1643">
      <c r="A1643" s="22" t="n">
        <v>1642</v>
      </c>
      <c r="B1643" s="23" t="inlineStr">
        <is>
          <t>Soledad Morales</t>
        </is>
      </c>
      <c r="C1643" s="12" t="inlineStr">
        <is>
          <t>Oftalmologia oftalmologos</t>
        </is>
      </c>
      <c r="D1643" s="12" t="inlineStr">
        <is>
          <t>Oftalmologia</t>
        </is>
      </c>
      <c r="E1643" s="22" t="n">
        <v>147</v>
      </c>
      <c r="F1643" s="22" t="n">
        <v>5450</v>
      </c>
      <c r="G1643" s="24" t="inlineStr">
        <is>
          <t>https://guiarsanrafael.com.ar/empresa/soledad-morales/</t>
        </is>
      </c>
    </row>
    <row r="1644">
      <c r="A1644" s="19" t="n">
        <v>1643</v>
      </c>
      <c r="B1644" s="20" t="inlineStr">
        <is>
          <t>SOLEDAD TROYANO</t>
        </is>
      </c>
      <c r="C1644" s="14" t="inlineStr">
        <is>
          <t>Cardiologia medico cardiologo</t>
        </is>
      </c>
      <c r="D1644" s="14" t="inlineStr">
        <is>
          <t>Cardiologia</t>
        </is>
      </c>
      <c r="E1644" s="19" t="n">
        <v>25</v>
      </c>
      <c r="F1644" s="19" t="n">
        <v>11678</v>
      </c>
      <c r="G1644" s="21" t="inlineStr">
        <is>
          <t>https://guiarsanrafael.com.ar/empresa/soledad-troyano/</t>
        </is>
      </c>
    </row>
    <row r="1645">
      <c r="A1645" s="22" t="n">
        <v>1644</v>
      </c>
      <c r="B1645" s="23" t="inlineStr">
        <is>
          <t>SOLEDAD ZINGARETTI</t>
        </is>
      </c>
      <c r="C1645" s="12" t="inlineStr">
        <is>
          <t>Veterinarias veterinarios</t>
        </is>
      </c>
      <c r="D1645" s="12" t="inlineStr">
        <is>
          <t>Veterinarias</t>
        </is>
      </c>
      <c r="E1645" s="22" t="n">
        <v>5</v>
      </c>
      <c r="F1645" s="22" t="n">
        <v>14553</v>
      </c>
      <c r="G1645" s="24" t="inlineStr">
        <is>
          <t>https://guiarsanrafael.com.ar/empresa/soledad-zingaretti/</t>
        </is>
      </c>
    </row>
    <row r="1646">
      <c r="A1646" s="19" t="n">
        <v>1645</v>
      </c>
      <c r="B1646" s="20" t="inlineStr">
        <is>
          <t>Solo Moto</t>
        </is>
      </c>
      <c r="C1646" s="14" t="inlineStr">
        <is>
          <t>Repuestos de motos</t>
        </is>
      </c>
      <c r="D1646" s="14" t="inlineStr">
        <is>
          <t>Accesorios para motos</t>
        </is>
      </c>
      <c r="E1646" s="19" t="n">
        <v>71</v>
      </c>
      <c r="F1646" s="19" t="n">
        <v>8468</v>
      </c>
      <c r="G1646" s="21" t="inlineStr">
        <is>
          <t>https://guiarsanrafael.com.ar/empresa/solo-moto/</t>
        </is>
      </c>
    </row>
    <row r="1647">
      <c r="A1647" s="22" t="n">
        <v>1646</v>
      </c>
      <c r="B1647" s="23" t="inlineStr">
        <is>
          <t>SOMBRA Hnos.</t>
        </is>
      </c>
      <c r="C1647" s="12" t="inlineStr">
        <is>
          <t>Aridos canteras</t>
        </is>
      </c>
      <c r="D1647" s="12" t="inlineStr">
        <is>
          <t>Aridos</t>
        </is>
      </c>
      <c r="E1647" s="22" t="n">
        <v>132</v>
      </c>
      <c r="F1647" s="22" t="n">
        <v>6202</v>
      </c>
      <c r="G1647" s="24" t="inlineStr">
        <is>
          <t>https://guiarsanrafael.com.ar/empresa/sombra-hnos/</t>
        </is>
      </c>
    </row>
    <row r="1648">
      <c r="A1648" s="19" t="n">
        <v>1647</v>
      </c>
      <c r="B1648" s="20" t="inlineStr">
        <is>
          <t>SONIA SIMÓN</t>
        </is>
      </c>
      <c r="C1648" s="14" t="inlineStr">
        <is>
          <t>Dermatologia</t>
        </is>
      </c>
      <c r="D1648" s="14" t="inlineStr">
        <is>
          <t>Dermatologia</t>
        </is>
      </c>
      <c r="E1648" s="19" t="n">
        <v>160</v>
      </c>
      <c r="F1648" s="19" t="n">
        <v>5274</v>
      </c>
      <c r="G1648" s="21" t="inlineStr">
        <is>
          <t>https://guiarsanrafael.com.ar/empresa/sonia-simon/</t>
        </is>
      </c>
    </row>
    <row r="1649">
      <c r="A1649" s="22" t="n">
        <v>1648</v>
      </c>
      <c r="B1649" s="23" t="inlineStr">
        <is>
          <t>Sonia Torres</t>
        </is>
      </c>
      <c r="C1649" s="12" t="inlineStr">
        <is>
          <t>Nutricion nutricionistas</t>
        </is>
      </c>
      <c r="D1649" s="12" t="inlineStr">
        <is>
          <t>Nutricionistas</t>
        </is>
      </c>
      <c r="E1649" s="22" t="n">
        <v>148</v>
      </c>
      <c r="F1649" s="22" t="n">
        <v>5438</v>
      </c>
      <c r="G1649" s="24" t="inlineStr">
        <is>
          <t>https://guiarsanrafael.com.ar/empresa/sonia-torres/</t>
        </is>
      </c>
    </row>
    <row r="1650">
      <c r="A1650" s="19" t="n">
        <v>1649</v>
      </c>
      <c r="B1650" s="20" t="inlineStr">
        <is>
          <t>Sorroche Manno Angeles</t>
        </is>
      </c>
      <c r="C1650" s="14" t="inlineStr">
        <is>
          <t>Abogados abogadas estudios juridicos</t>
        </is>
      </c>
      <c r="D1650" s="14" t="inlineStr">
        <is>
          <t>Abogadas</t>
        </is>
      </c>
      <c r="E1650" s="19" t="n">
        <v>108</v>
      </c>
      <c r="F1650" s="19" t="n">
        <v>7257</v>
      </c>
      <c r="G1650" s="21" t="inlineStr">
        <is>
          <t>https://guiarsanrafael.com.ar/empresa/sorroche-manno-angeles/</t>
        </is>
      </c>
    </row>
    <row r="1651">
      <c r="A1651" s="22" t="n">
        <v>1650</v>
      </c>
      <c r="B1651" s="23" t="inlineStr">
        <is>
          <t>SPINELLA La Moda con Vos</t>
        </is>
      </c>
      <c r="C1651" s="12" t="inlineStr">
        <is>
          <t>Boutique</t>
        </is>
      </c>
      <c r="D1651" s="12" t="inlineStr">
        <is>
          <t>Boutique</t>
        </is>
      </c>
      <c r="E1651" s="22" t="n">
        <v>19</v>
      </c>
      <c r="F1651" s="22" t="n">
        <v>12326</v>
      </c>
      <c r="G1651" s="24" t="inlineStr">
        <is>
          <t>https://guiarsanrafael.com.ar/empresa/spinella-la-moda-con-vos/</t>
        </is>
      </c>
    </row>
    <row r="1652">
      <c r="A1652" s="19" t="n">
        <v>1651</v>
      </c>
      <c r="B1652" s="20" t="inlineStr">
        <is>
          <t>SPINELLO Silvia María</t>
        </is>
      </c>
      <c r="C1652" s="14" t="inlineStr">
        <is>
          <t>Escribanias escribanos escribanas mandatario mandataria notarios notarias</t>
        </is>
      </c>
      <c r="D1652" s="14" t="inlineStr">
        <is>
          <t>Escribanas</t>
        </is>
      </c>
      <c r="E1652" s="19" t="n">
        <v>79</v>
      </c>
      <c r="F1652" s="19" t="n">
        <v>8247</v>
      </c>
      <c r="G1652" s="21" t="inlineStr">
        <is>
          <t>https://guiarsanrafael.com.ar/empresa/spinello-silvia-maria/</t>
        </is>
      </c>
    </row>
    <row r="1653">
      <c r="A1653" s="22" t="n">
        <v>1652</v>
      </c>
      <c r="B1653" s="23" t="inlineStr">
        <is>
          <t>Sportacus Deportes</t>
        </is>
      </c>
      <c r="C1653" s="12" t="inlineStr">
        <is>
          <t>Accesorios deportivos</t>
        </is>
      </c>
      <c r="D1653" s="12" t="inlineStr">
        <is>
          <t>Accesorios deportivos</t>
        </is>
      </c>
      <c r="E1653" s="22" t="n">
        <v>162</v>
      </c>
      <c r="F1653" s="22" t="n">
        <v>5131</v>
      </c>
      <c r="G1653" s="24" t="inlineStr">
        <is>
          <t>https://guiarsanrafael.com.ar/empresa/sportacus-deporte/</t>
        </is>
      </c>
    </row>
    <row r="1654">
      <c r="A1654" s="19" t="n">
        <v>1653</v>
      </c>
      <c r="B1654" s="20" t="inlineStr">
        <is>
          <t>SRA. MILA Fábrica de Milanesas</t>
        </is>
      </c>
      <c r="C1654" s="14" t="inlineStr">
        <is>
          <t>Casa de comidas rotiseria viandas</t>
        </is>
      </c>
      <c r="D1654" s="14" t="inlineStr">
        <is>
          <t>Casa de comidas</t>
        </is>
      </c>
      <c r="E1654" s="19" t="n">
        <v>2</v>
      </c>
      <c r="F1654" s="19" t="n">
        <v>14906</v>
      </c>
      <c r="G1654" s="21" t="inlineStr">
        <is>
          <t>https://guiarsanrafael.com.ar/empresa/sra-mila-fabrica-de-milanesas/</t>
        </is>
      </c>
    </row>
    <row r="1655">
      <c r="A1655" s="22" t="n">
        <v>1654</v>
      </c>
      <c r="B1655" s="23" t="inlineStr">
        <is>
          <t>STADIUM Gimnasia Artística</t>
        </is>
      </c>
      <c r="C1655" s="12" t="inlineStr">
        <is>
          <t>Gimnasia artistica gimnasios</t>
        </is>
      </c>
      <c r="D1655" s="12" t="inlineStr">
        <is>
          <t>Gimnasia artistica</t>
        </is>
      </c>
      <c r="E1655" s="22" t="n">
        <v>94</v>
      </c>
      <c r="F1655" s="22" t="n">
        <v>7812</v>
      </c>
      <c r="G1655" s="24" t="inlineStr">
        <is>
          <t>https://guiarsanrafael.com.ar/empresa/estadium-gimnasia-artistica/</t>
        </is>
      </c>
    </row>
    <row r="1656">
      <c r="A1656" s="19" t="n">
        <v>1655</v>
      </c>
      <c r="B1656" s="20" t="inlineStr">
        <is>
          <t>START PAPELERA</t>
        </is>
      </c>
      <c r="C1656" s="14" t="inlineStr">
        <is>
          <t>Articulos de limpieza todo suelto</t>
        </is>
      </c>
      <c r="D1656" s="14" t="inlineStr">
        <is>
          <t>Articulos de limpieza</t>
        </is>
      </c>
      <c r="E1656" s="19" t="n">
        <v>24</v>
      </c>
      <c r="F1656" s="19" t="n">
        <v>11812</v>
      </c>
      <c r="G1656" s="21" t="inlineStr">
        <is>
          <t>https://guiarsanrafael.com.ar/empresa/start-papelera/</t>
        </is>
      </c>
    </row>
    <row r="1657">
      <c r="A1657" s="22" t="n">
        <v>1656</v>
      </c>
      <c r="B1657" s="23" t="inlineStr">
        <is>
          <t>STATUS Barbería &amp; Peluquería</t>
        </is>
      </c>
      <c r="C1657" s="12" t="inlineStr">
        <is>
          <t>Barberias peluqueria barberos</t>
        </is>
      </c>
      <c r="D1657" s="12" t="inlineStr">
        <is>
          <t>Barberias</t>
        </is>
      </c>
      <c r="E1657" s="22" t="n">
        <v>17</v>
      </c>
      <c r="F1657" s="22" t="n">
        <v>12571</v>
      </c>
      <c r="G1657" s="24" t="inlineStr">
        <is>
          <t>https://guiarsanrafael.com.ar/empresa/status-barber-coffee/</t>
        </is>
      </c>
    </row>
    <row r="1658">
      <c r="A1658" s="19" t="n">
        <v>1657</v>
      </c>
      <c r="B1658" s="20" t="inlineStr">
        <is>
          <t>STELLA MARIS MAZZAGATTI</t>
        </is>
      </c>
      <c r="C1658" s="14" t="inlineStr">
        <is>
          <t>Clinica medica</t>
        </is>
      </c>
      <c r="D1658" s="14" t="inlineStr">
        <is>
          <t>Clinica medica</t>
        </is>
      </c>
      <c r="E1658" s="19" t="n">
        <v>165</v>
      </c>
      <c r="F1658" s="19" t="n">
        <v>5009</v>
      </c>
      <c r="G1658" s="21" t="inlineStr">
        <is>
          <t>https://guiarsanrafael.com.ar/empresa/stella-maris-mazzagatti/</t>
        </is>
      </c>
    </row>
    <row r="1659">
      <c r="A1659" s="22" t="n">
        <v>1658</v>
      </c>
      <c r="B1659" s="23" t="inlineStr">
        <is>
          <t>STI Servicio de Electrodoméstico Integral</t>
        </is>
      </c>
      <c r="C1659" s="12" t="inlineStr">
        <is>
          <t>Refigeracion aire acondicionado</t>
        </is>
      </c>
      <c r="D1659" s="12" t="inlineStr">
        <is>
          <t>Electronica</t>
        </is>
      </c>
      <c r="E1659" s="22" t="n">
        <v>35</v>
      </c>
      <c r="F1659" s="22" t="n">
        <v>10363</v>
      </c>
      <c r="G1659" s="24" t="inlineStr">
        <is>
          <t>https://guiarsanrafael.com.ar/empresa/sti-servicio-de-electrodomestico-integral/</t>
        </is>
      </c>
    </row>
    <row r="1660">
      <c r="A1660" s="19" t="n">
        <v>1659</v>
      </c>
      <c r="B1660" s="20" t="inlineStr">
        <is>
          <t>STRONG Crosstraining</t>
        </is>
      </c>
      <c r="C1660" s="14" t="inlineStr">
        <is>
          <t>Gimnasios gym</t>
        </is>
      </c>
      <c r="D1660" s="14" t="inlineStr">
        <is>
          <t>Gimnasios</t>
        </is>
      </c>
      <c r="E1660" s="19" t="n">
        <v>20</v>
      </c>
      <c r="F1660" s="19" t="n">
        <v>12234</v>
      </c>
      <c r="G1660" s="21" t="inlineStr">
        <is>
          <t>https://guiarsanrafael.com.ar/empresa/strong-crosstraining/</t>
        </is>
      </c>
    </row>
    <row r="1661">
      <c r="A1661" s="22" t="n">
        <v>1660</v>
      </c>
      <c r="B1661" s="23" t="inlineStr">
        <is>
          <t>Sud Restaurant</t>
        </is>
      </c>
      <c r="C1661" s="12" t="inlineStr">
        <is>
          <t>Restaurantes parrilas</t>
        </is>
      </c>
      <c r="D1661" s="12" t="inlineStr">
        <is>
          <t>Restaurantes</t>
        </is>
      </c>
      <c r="E1661" s="22" t="n">
        <v>37</v>
      </c>
      <c r="F1661" s="22" t="n">
        <v>10257</v>
      </c>
      <c r="G1661" s="24" t="inlineStr">
        <is>
          <t>https://guiarsanrafael.com.ar/empresa/sud-restaurant/</t>
        </is>
      </c>
    </row>
    <row r="1662">
      <c r="A1662" s="19" t="n">
        <v>1661</v>
      </c>
      <c r="B1662" s="20" t="inlineStr">
        <is>
          <t>SUEÑOS Estilistas</t>
        </is>
      </c>
      <c r="C1662" s="14" t="inlineStr">
        <is>
          <t>Estilistas peluqueria barberias</t>
        </is>
      </c>
      <c r="D1662" s="14" t="inlineStr">
        <is>
          <t>Estilistas</t>
        </is>
      </c>
      <c r="E1662" s="19" t="n">
        <v>168</v>
      </c>
      <c r="F1662" s="19" t="n">
        <v>4724</v>
      </c>
      <c r="G1662" s="21" t="inlineStr">
        <is>
          <t>https://guiarsanrafael.com.ar/empresa/suenos-estilistas/</t>
        </is>
      </c>
    </row>
    <row r="1663">
      <c r="A1663" s="22" t="n">
        <v>1662</v>
      </c>
      <c r="B1663" s="23" t="inlineStr">
        <is>
          <t>Super Sano</t>
        </is>
      </c>
      <c r="C1663" s="12" t="inlineStr">
        <is>
          <t>Dieteticas productos naturales</t>
        </is>
      </c>
      <c r="D1663" s="12" t="inlineStr">
        <is>
          <t>Dieteticas</t>
        </is>
      </c>
      <c r="E1663" s="22" t="n">
        <v>55</v>
      </c>
      <c r="F1663" s="22" t="n">
        <v>9237</v>
      </c>
      <c r="G1663" s="24" t="inlineStr">
        <is>
          <t>https://guiarsanrafael.com.ar/empresa/super-sano/</t>
        </is>
      </c>
    </row>
    <row r="1664">
      <c r="A1664" s="19" t="n">
        <v>1663</v>
      </c>
      <c r="B1664" s="20" t="inlineStr">
        <is>
          <t>SUPERMERCADO del ENVASE</t>
        </is>
      </c>
      <c r="C1664" s="14" t="inlineStr">
        <is>
          <t>Descartables distribuidoras</t>
        </is>
      </c>
      <c r="D1664" s="14" t="inlineStr">
        <is>
          <t>Descartables</t>
        </is>
      </c>
      <c r="E1664" s="19" t="n">
        <v>19</v>
      </c>
      <c r="F1664" s="19" t="n">
        <v>12315</v>
      </c>
      <c r="G1664" s="21" t="inlineStr">
        <is>
          <t>https://guiarsanrafael.com.ar/empresa/supermercado-del-envase/</t>
        </is>
      </c>
    </row>
    <row r="1665">
      <c r="A1665" s="22" t="n">
        <v>1664</v>
      </c>
      <c r="B1665" s="23" t="inlineStr">
        <is>
          <t>SUR BLACKOUT Cortinas Roller</t>
        </is>
      </c>
      <c r="C1665" s="12" t="inlineStr">
        <is>
          <t>Cortinados</t>
        </is>
      </c>
      <c r="D1665" s="12" t="inlineStr">
        <is>
          <t>Cortinados</t>
        </is>
      </c>
      <c r="E1665" s="22" t="n">
        <v>22</v>
      </c>
      <c r="F1665" s="22" t="n">
        <v>12006</v>
      </c>
      <c r="G1665" s="24" t="inlineStr">
        <is>
          <t>https://guiarsanrafael.com.ar/empresa/sur-blackout-cortinas-roller/</t>
        </is>
      </c>
    </row>
    <row r="1666">
      <c r="A1666" s="19" t="n">
        <v>1665</v>
      </c>
      <c r="B1666" s="20" t="inlineStr">
        <is>
          <t>SUR COPPIERS Fotocopiadoras &amp; Impresoras</t>
        </is>
      </c>
      <c r="C1666" s="14" t="inlineStr">
        <is>
          <t>Fotocopiadoras servicio tecnico informatica electronica</t>
        </is>
      </c>
      <c r="D1666" s="14" t="inlineStr">
        <is>
          <t>Fotocopiadoras</t>
        </is>
      </c>
      <c r="E1666" s="19" t="n">
        <v>29</v>
      </c>
      <c r="F1666" s="19" t="n">
        <v>11160</v>
      </c>
      <c r="G1666" s="21" t="inlineStr">
        <is>
          <t>https://guiarsanrafael.com.ar/empresa/sur-coppiers-fotocopiadoras-impresoras/</t>
        </is>
      </c>
    </row>
    <row r="1667">
      <c r="A1667" s="22" t="n">
        <v>1666</v>
      </c>
      <c r="B1667" s="23" t="inlineStr">
        <is>
          <t>SUR GLASS Vidrios y Aluminio</t>
        </is>
      </c>
      <c r="C1667" s="12" t="inlineStr">
        <is>
          <t>Aberturas</t>
        </is>
      </c>
      <c r="D1667" s="12" t="inlineStr">
        <is>
          <t>Aberturas</t>
        </is>
      </c>
      <c r="E1667" s="22" t="n">
        <v>8</v>
      </c>
      <c r="F1667" s="22" t="n">
        <v>14046</v>
      </c>
      <c r="G1667" s="24" t="inlineStr">
        <is>
          <t>https://guiarsanrafael.com.ar/empresa/sur-glass-vidrios-y-aluminio/</t>
        </is>
      </c>
    </row>
    <row r="1668">
      <c r="A1668" s="19" t="n">
        <v>1667</v>
      </c>
      <c r="B1668" s="20" t="inlineStr">
        <is>
          <t>SUR TÉCNICA</t>
        </is>
      </c>
      <c r="C1668" s="14" t="inlineStr">
        <is>
          <t>Articulos de goma</t>
        </is>
      </c>
      <c r="D1668" s="14" t="inlineStr">
        <is>
          <t>Articulos de goma</t>
        </is>
      </c>
      <c r="E1668" s="19" t="n">
        <v>18</v>
      </c>
      <c r="F1668" s="19" t="n">
        <v>12496</v>
      </c>
      <c r="G1668" s="21" t="inlineStr">
        <is>
          <t>https://guiarsanrafael.com.ar/empresa/sur-tecnica/</t>
        </is>
      </c>
    </row>
    <row r="1669">
      <c r="A1669" s="22" t="n">
        <v>1668</v>
      </c>
      <c r="B1669" s="23" t="inlineStr">
        <is>
          <t>SURIEGO</t>
        </is>
      </c>
      <c r="C1669" s="12" t="inlineStr">
        <is>
          <t>Herramientas</t>
        </is>
      </c>
      <c r="D1669" s="12" t="inlineStr">
        <is>
          <t>Herramientas</t>
        </is>
      </c>
      <c r="E1669" s="22" t="n">
        <v>181</v>
      </c>
      <c r="F1669" s="22" t="n">
        <v>9689</v>
      </c>
      <c r="G1669" s="24" t="inlineStr">
        <is>
          <t>https://guiarsanrafael.com.ar/empresa/suriego-3/</t>
        </is>
      </c>
    </row>
    <row r="1670">
      <c r="A1670" s="19" t="n">
        <v>1669</v>
      </c>
      <c r="B1670" s="20" t="inlineStr">
        <is>
          <t>SURIEGO</t>
        </is>
      </c>
      <c r="C1670" s="14" t="inlineStr">
        <is>
          <t>Energia solar</t>
        </is>
      </c>
      <c r="D1670" s="14" t="inlineStr">
        <is>
          <t>Energia solar</t>
        </is>
      </c>
      <c r="E1670" s="19" t="n">
        <v>181</v>
      </c>
      <c r="F1670" s="19" t="n">
        <v>9690</v>
      </c>
      <c r="G1670" s="21" t="inlineStr">
        <is>
          <t>https://guiarsanrafael.com.ar/empresa/suriego-2/</t>
        </is>
      </c>
    </row>
    <row r="1671">
      <c r="A1671" s="22" t="n">
        <v>1670</v>
      </c>
      <c r="B1671" s="23" t="inlineStr">
        <is>
          <t>SURIEGO</t>
        </is>
      </c>
      <c r="C1671" s="12" t="inlineStr">
        <is>
          <t>Destacados</t>
        </is>
      </c>
      <c r="D1671" s="12" t="inlineStr">
        <is>
          <t>Bombas de agua</t>
        </is>
      </c>
      <c r="E1671" s="22" t="n">
        <v>182</v>
      </c>
      <c r="F1671" s="22" t="n">
        <v>7643</v>
      </c>
      <c r="G1671" s="24" t="inlineStr">
        <is>
          <t>https://guiarsanrafael.com.ar/empresa/suriego/</t>
        </is>
      </c>
    </row>
    <row r="1672">
      <c r="A1672" s="19" t="n">
        <v>1671</v>
      </c>
      <c r="B1672" s="20" t="inlineStr">
        <is>
          <t>SURTIGOMA</t>
        </is>
      </c>
      <c r="C1672" s="14" t="inlineStr">
        <is>
          <t>Articulos de goma</t>
        </is>
      </c>
      <c r="D1672" s="14" t="inlineStr">
        <is>
          <t>Articulos de goma</t>
        </is>
      </c>
      <c r="E1672" s="19" t="n">
        <v>182</v>
      </c>
      <c r="F1672" s="19" t="n">
        <v>8509</v>
      </c>
      <c r="G1672" s="21" t="inlineStr">
        <is>
          <t>https://guiarsanrafael.com.ar/empresa/surtigoma/</t>
        </is>
      </c>
    </row>
    <row r="1673">
      <c r="A1673" s="22" t="n">
        <v>1672</v>
      </c>
      <c r="B1673" s="23" t="inlineStr">
        <is>
          <t>Susana Tortosa</t>
        </is>
      </c>
      <c r="C1673" s="12" t="inlineStr">
        <is>
          <t>Hematologia</t>
        </is>
      </c>
      <c r="D1673" s="12" t="inlineStr">
        <is>
          <t>Hematologia</t>
        </is>
      </c>
      <c r="E1673" s="22" t="n">
        <v>154</v>
      </c>
      <c r="F1673" s="22" t="n">
        <v>5347</v>
      </c>
      <c r="G1673" s="24" t="inlineStr">
        <is>
          <t>https://guiarsanrafael.com.ar/empresa/susana-tortosa/</t>
        </is>
      </c>
    </row>
    <row r="1674">
      <c r="A1674" s="19" t="n">
        <v>1673</v>
      </c>
      <c r="B1674" s="20" t="inlineStr">
        <is>
          <t>SUSHI KOSHI</t>
        </is>
      </c>
      <c r="C1674" s="14" t="inlineStr">
        <is>
          <t>Casa de comidas rotiseria viandas</t>
        </is>
      </c>
      <c r="D1674" s="14" t="inlineStr">
        <is>
          <t>Casa de comidas</t>
        </is>
      </c>
      <c r="E1674" s="19" t="n">
        <v>68</v>
      </c>
      <c r="F1674" s="19" t="n">
        <v>8491</v>
      </c>
      <c r="G1674" s="21" t="inlineStr">
        <is>
          <t>https://guiarsanrafael.com.ar/empresa/sushi-koshi/</t>
        </is>
      </c>
    </row>
    <row r="1675">
      <c r="A1675" s="22" t="n">
        <v>1674</v>
      </c>
      <c r="B1675" s="23" t="inlineStr">
        <is>
          <t>SYSTEM Seguridad Electrónica</t>
        </is>
      </c>
      <c r="C1675" s="12" t="inlineStr">
        <is>
          <t>Alarmas</t>
        </is>
      </c>
      <c r="D1675" s="12" t="inlineStr">
        <is>
          <t>Alarmas</t>
        </is>
      </c>
      <c r="E1675" s="22" t="n">
        <v>120</v>
      </c>
      <c r="F1675" s="22" t="n">
        <v>7064</v>
      </c>
      <c r="G1675" s="24" t="inlineStr">
        <is>
          <t>https://guiarsanrafael.com.ar/empresa/system-seguridad-electronica/</t>
        </is>
      </c>
    </row>
    <row r="1676">
      <c r="A1676" s="19" t="n">
        <v>1675</v>
      </c>
      <c r="B1676" s="20" t="inlineStr">
        <is>
          <t>Sánchez Mauricio R.</t>
        </is>
      </c>
      <c r="C1676" s="14" t="inlineStr">
        <is>
          <t>Abogados abogadas estudios juridicos</t>
        </is>
      </c>
      <c r="D1676" s="14" t="inlineStr">
        <is>
          <t>Abogados</t>
        </is>
      </c>
      <c r="E1676" s="19" t="n">
        <v>119</v>
      </c>
      <c r="F1676" s="19" t="n">
        <v>7120</v>
      </c>
      <c r="G1676" s="21" t="inlineStr">
        <is>
          <t>https://guiarsanrafael.com.ar/empresa/sanchez-mauricio-r/</t>
        </is>
      </c>
    </row>
    <row r="1677">
      <c r="A1677" s="22" t="n">
        <v>1676</v>
      </c>
      <c r="B1677" s="23" t="inlineStr">
        <is>
          <t>TAIEL FIORENTINO</t>
        </is>
      </c>
      <c r="C1677" s="12" t="inlineStr">
        <is>
          <t>Traumatologia y ortopedia</t>
        </is>
      </c>
      <c r="D1677" s="12" t="inlineStr">
        <is>
          <t>Traumatologia</t>
        </is>
      </c>
      <c r="E1677" s="22" t="n">
        <v>4</v>
      </c>
      <c r="F1677" s="22" t="n">
        <v>14571</v>
      </c>
      <c r="G1677" s="24" t="inlineStr">
        <is>
          <t>https://guiarsanrafael.com.ar/empresa/taiel-fiorentino/</t>
        </is>
      </c>
    </row>
    <row r="1678">
      <c r="A1678" s="19" t="n">
        <v>1677</v>
      </c>
      <c r="B1678" s="20" t="inlineStr">
        <is>
          <t>TAINA Rico y Saludable</t>
        </is>
      </c>
      <c r="C1678" s="14" t="inlineStr">
        <is>
          <t>Casa de comidas rotiseria viandas</t>
        </is>
      </c>
      <c r="D1678" s="14" t="inlineStr">
        <is>
          <t>Casa de comidas</t>
        </is>
      </c>
      <c r="E1678" s="19" t="n">
        <v>129</v>
      </c>
      <c r="F1678" s="19" t="n">
        <v>6434</v>
      </c>
      <c r="G1678" s="21" t="inlineStr">
        <is>
          <t>https://guiarsanrafael.com.ar/empresa/taina-rico-y-saludable/</t>
        </is>
      </c>
    </row>
    <row r="1679">
      <c r="A1679" s="22" t="n">
        <v>1678</v>
      </c>
      <c r="B1679" s="23" t="inlineStr">
        <is>
          <t>TALLER DE CALZADO</t>
        </is>
      </c>
      <c r="C1679" s="12" t="inlineStr">
        <is>
          <t>Taller de calzado</t>
        </is>
      </c>
      <c r="D1679" s="12" t="inlineStr">
        <is>
          <t>Taller de calzado</t>
        </is>
      </c>
      <c r="E1679" s="22" t="n">
        <v>89</v>
      </c>
      <c r="F1679" s="22" t="n">
        <v>7967</v>
      </c>
      <c r="G1679" s="24" t="inlineStr">
        <is>
          <t>https://guiarsanrafael.com.ar/empresa/taller-de-calzado/</t>
        </is>
      </c>
    </row>
    <row r="1680">
      <c r="A1680" s="19" t="n">
        <v>1679</v>
      </c>
      <c r="B1680" s="20" t="inlineStr">
        <is>
          <t>Taller de Motos Giménez</t>
        </is>
      </c>
      <c r="C1680" s="14" t="inlineStr">
        <is>
          <t>Mecanica de motos</t>
        </is>
      </c>
      <c r="D1680" s="14" t="inlineStr">
        <is>
          <t>Mecanica de motos</t>
        </is>
      </c>
      <c r="E1680" s="19" t="n">
        <v>70</v>
      </c>
      <c r="F1680" s="19" t="n">
        <v>8462</v>
      </c>
      <c r="G1680" s="21" t="inlineStr">
        <is>
          <t>https://guiarsanrafael.com.ar/empresa/taller-de-motos-gimenez/</t>
        </is>
      </c>
    </row>
    <row r="1681">
      <c r="A1681" s="22" t="n">
        <v>1680</v>
      </c>
      <c r="B1681" s="23" t="inlineStr">
        <is>
          <t>TALLER DELAMARRE</t>
        </is>
      </c>
      <c r="C1681" s="12" t="inlineStr">
        <is>
          <t>Estetica vehicular tuning</t>
        </is>
      </c>
      <c r="D1681" s="12" t="inlineStr">
        <is>
          <t>Taller chapa y pintura</t>
        </is>
      </c>
      <c r="E1681" s="22" t="n">
        <v>137</v>
      </c>
      <c r="F1681" s="22" t="n">
        <v>5874</v>
      </c>
      <c r="G1681" s="24" t="inlineStr">
        <is>
          <t>https://guiarsanrafael.com.ar/empresa/taller-delamarre/</t>
        </is>
      </c>
    </row>
    <row r="1682">
      <c r="A1682" s="19" t="n">
        <v>1681</v>
      </c>
      <c r="B1682" s="20" t="inlineStr">
        <is>
          <t>Taller Integral del Automotor</t>
        </is>
      </c>
      <c r="C1682" s="14" t="inlineStr">
        <is>
          <t>Mecanica del automotor automotriz</t>
        </is>
      </c>
      <c r="D1682" s="14" t="inlineStr">
        <is>
          <t>Mecanica del automotor</t>
        </is>
      </c>
      <c r="E1682" s="19" t="n">
        <v>69</v>
      </c>
      <c r="F1682" s="19" t="n">
        <v>8484</v>
      </c>
      <c r="G1682" s="21" t="inlineStr">
        <is>
          <t>https://guiarsanrafael.com.ar/empresa/taller-integral-del-automotor/</t>
        </is>
      </c>
    </row>
    <row r="1683">
      <c r="A1683" s="22" t="n">
        <v>1682</v>
      </c>
      <c r="B1683" s="23" t="inlineStr">
        <is>
          <t>Taller Mecánico JSR-NM</t>
        </is>
      </c>
      <c r="C1683" s="12" t="inlineStr">
        <is>
          <t>Mecanica del automotor automotriz</t>
        </is>
      </c>
      <c r="D1683" s="12" t="inlineStr">
        <is>
          <t>Mecanica del automotor</t>
        </is>
      </c>
      <c r="E1683" s="22" t="n">
        <v>69</v>
      </c>
      <c r="F1683" s="22" t="n">
        <v>8483</v>
      </c>
      <c r="G1683" s="24" t="inlineStr">
        <is>
          <t>https://guiarsanrafael.com.ar/empresa/taller-mecanico-jsr-nm/</t>
        </is>
      </c>
    </row>
    <row r="1684">
      <c r="A1684" s="19" t="n">
        <v>1683</v>
      </c>
      <c r="B1684" s="20" t="inlineStr">
        <is>
          <t>Talú Apart Hotel</t>
        </is>
      </c>
      <c r="C1684" s="14" t="inlineStr">
        <is>
          <t>Apar thotel</t>
        </is>
      </c>
      <c r="D1684" s="14" t="inlineStr">
        <is>
          <t>Alojamientos</t>
        </is>
      </c>
      <c r="E1684" s="19" t="n">
        <v>91</v>
      </c>
      <c r="F1684" s="19" t="n">
        <v>7860</v>
      </c>
      <c r="G1684" s="21" t="inlineStr">
        <is>
          <t>https://guiarsanrafael.com.ar/empresa/talu-apart-hotel/</t>
        </is>
      </c>
    </row>
    <row r="1685">
      <c r="A1685" s="22" t="n">
        <v>1684</v>
      </c>
      <c r="B1685" s="23" t="inlineStr">
        <is>
          <t>TANIA PAEZ</t>
        </is>
      </c>
      <c r="C1685" s="12" t="inlineStr">
        <is>
          <t>Nutricion nutricionistas</t>
        </is>
      </c>
      <c r="D1685" s="12" t="inlineStr">
        <is>
          <t>Nutricionistas</t>
        </is>
      </c>
      <c r="E1685" s="22" t="n">
        <v>4</v>
      </c>
      <c r="F1685" s="22" t="n">
        <v>14575</v>
      </c>
      <c r="G1685" s="24" t="inlineStr">
        <is>
          <t>https://guiarsanrafael.com.ar/empresa/tania-paez/</t>
        </is>
      </c>
    </row>
    <row r="1686">
      <c r="A1686" s="19" t="n">
        <v>1685</v>
      </c>
      <c r="B1686" s="20" t="inlineStr">
        <is>
          <t>Tano Motos</t>
        </is>
      </c>
      <c r="C1686" s="14" t="inlineStr">
        <is>
          <t>Electricidad de motos</t>
        </is>
      </c>
      <c r="D1686" s="14" t="inlineStr">
        <is>
          <t>Mecanica de motos</t>
        </is>
      </c>
      <c r="E1686" s="19" t="n">
        <v>71</v>
      </c>
      <c r="F1686" s="19" t="n">
        <v>8466</v>
      </c>
      <c r="G1686" s="21" t="inlineStr">
        <is>
          <t>https://guiarsanrafael.com.ar/empresa/tano-motos/</t>
        </is>
      </c>
    </row>
    <row r="1687">
      <c r="A1687" s="22" t="n">
        <v>1686</v>
      </c>
      <c r="B1687" s="23" t="inlineStr">
        <is>
          <t>TAPIA Leonardo César</t>
        </is>
      </c>
      <c r="C1687" s="12" t="inlineStr">
        <is>
          <t>Escribanias escribanos escribanas mandatario mandataria notarios notarias</t>
        </is>
      </c>
      <c r="D1687" s="12" t="inlineStr">
        <is>
          <t>Escribanias</t>
        </is>
      </c>
      <c r="E1687" s="22" t="n">
        <v>78</v>
      </c>
      <c r="F1687" s="22" t="n">
        <v>8248</v>
      </c>
      <c r="G1687" s="24" t="inlineStr">
        <is>
          <t>https://guiarsanrafael.com.ar/empresa/tapia-leonardo-cesar/</t>
        </is>
      </c>
    </row>
    <row r="1688">
      <c r="A1688" s="19" t="n">
        <v>1687</v>
      </c>
      <c r="B1688" s="20" t="inlineStr">
        <is>
          <t>TAPICERÍA GARCIA</t>
        </is>
      </c>
      <c r="C1688" s="14" t="inlineStr">
        <is>
          <t>Tapicerias</t>
        </is>
      </c>
      <c r="D1688" s="14" t="inlineStr">
        <is>
          <t>Tapicerias</t>
        </is>
      </c>
      <c r="E1688" s="19" t="n">
        <v>39</v>
      </c>
      <c r="F1688" s="19" t="n">
        <v>10153</v>
      </c>
      <c r="G1688" s="21" t="inlineStr">
        <is>
          <t>https://guiarsanrafael.com.ar/empresa/tapiceria-garcia/</t>
        </is>
      </c>
    </row>
    <row r="1689">
      <c r="A1689" s="22" t="n">
        <v>1688</v>
      </c>
      <c r="B1689" s="23" t="inlineStr">
        <is>
          <t>Tarantelli	Silvina Laura</t>
        </is>
      </c>
      <c r="C1689" s="12" t="inlineStr">
        <is>
          <t>Abogados abogadas estudios juridicos</t>
        </is>
      </c>
      <c r="D1689" s="12" t="inlineStr">
        <is>
          <t>Abogadas</t>
        </is>
      </c>
      <c r="E1689" s="22" t="n">
        <v>112</v>
      </c>
      <c r="F1689" s="22" t="n">
        <v>7194</v>
      </c>
      <c r="G1689" s="24" t="inlineStr">
        <is>
          <t>https://guiarsanrafael.com.ar/empresa/tarantellisilvina-laura/</t>
        </is>
      </c>
    </row>
    <row r="1690">
      <c r="A1690" s="19" t="n">
        <v>1689</v>
      </c>
      <c r="B1690" s="20" t="inlineStr">
        <is>
          <t>Tatángelo Javier A.</t>
        </is>
      </c>
      <c r="C1690" s="14" t="inlineStr">
        <is>
          <t>Abogados abogadas estudios juridicos</t>
        </is>
      </c>
      <c r="D1690" s="14" t="inlineStr">
        <is>
          <t>Abogados</t>
        </is>
      </c>
      <c r="E1690" s="19" t="n">
        <v>117</v>
      </c>
      <c r="F1690" s="19" t="n">
        <v>7141</v>
      </c>
      <c r="G1690" s="21" t="inlineStr">
        <is>
          <t>https://guiarsanrafael.com.ar/empresa/tatangelo-javier-a/</t>
        </is>
      </c>
    </row>
    <row r="1691">
      <c r="A1691" s="22" t="n">
        <v>1690</v>
      </c>
      <c r="B1691" s="23" t="inlineStr">
        <is>
          <t>TAURO GIM</t>
        </is>
      </c>
      <c r="C1691" s="12" t="inlineStr">
        <is>
          <t>Gimnasios gym</t>
        </is>
      </c>
      <c r="D1691" s="12" t="inlineStr">
        <is>
          <t>Gimnasios</t>
        </is>
      </c>
      <c r="E1691" s="22" t="n">
        <v>125</v>
      </c>
      <c r="F1691" s="22" t="n">
        <v>6715</v>
      </c>
      <c r="G1691" s="24" t="inlineStr">
        <is>
          <t>https://guiarsanrafael.com.ar/empresa/tauro-gim/</t>
        </is>
      </c>
    </row>
    <row r="1692">
      <c r="A1692" s="19" t="n">
        <v>1691</v>
      </c>
      <c r="B1692" s="20" t="inlineStr">
        <is>
          <t>TECHOS SUR</t>
        </is>
      </c>
      <c r="C1692" s="14" t="inlineStr">
        <is>
          <t>Aberturas</t>
        </is>
      </c>
      <c r="D1692" s="14" t="inlineStr">
        <is>
          <t>Aislantes 2</t>
        </is>
      </c>
      <c r="E1692" s="19" t="n">
        <v>170</v>
      </c>
      <c r="F1692" s="19" t="n">
        <v>4447</v>
      </c>
      <c r="G1692" s="21" t="inlineStr">
        <is>
          <t>https://guiarsanrafael.com.ar/empresa/techos-sur/</t>
        </is>
      </c>
    </row>
    <row r="1693">
      <c r="A1693" s="22" t="n">
        <v>1692</v>
      </c>
      <c r="B1693" s="23" t="inlineStr">
        <is>
          <t>TECNOMANIAC  Servicio Técnico</t>
        </is>
      </c>
      <c r="C1693" s="12" t="inlineStr">
        <is>
          <t>Accesorios de telefonia celular</t>
        </is>
      </c>
      <c r="D1693" s="12" t="inlineStr">
        <is>
          <t>Accesorios de telefonia</t>
        </is>
      </c>
      <c r="E1693" s="22" t="n">
        <v>12</v>
      </c>
      <c r="F1693" s="22" t="n">
        <v>13247</v>
      </c>
      <c r="G1693" s="24" t="inlineStr">
        <is>
          <t>https://guiarsanrafael.com.ar/empresa/tecnomania-servicio-tecnico/</t>
        </is>
      </c>
    </row>
    <row r="1694">
      <c r="A1694" s="19" t="n">
        <v>1693</v>
      </c>
      <c r="B1694" s="20" t="inlineStr">
        <is>
          <t>TELESCA KUZEL Gabriela Eliana</t>
        </is>
      </c>
      <c r="C1694" s="14" t="inlineStr">
        <is>
          <t>Escribanias escribanos escribanas mandatario mandataria notarios notarias</t>
        </is>
      </c>
      <c r="D1694" s="14" t="inlineStr">
        <is>
          <t>Escribanas</t>
        </is>
      </c>
      <c r="E1694" s="19" t="n">
        <v>78</v>
      </c>
      <c r="F1694" s="19" t="n">
        <v>8249</v>
      </c>
      <c r="G1694" s="21" t="inlineStr">
        <is>
          <t>https://guiarsanrafael.com.ar/empresa/telesca-kuzel-gabriela-eliana/</t>
        </is>
      </c>
    </row>
    <row r="1695">
      <c r="A1695" s="22" t="n">
        <v>1694</v>
      </c>
      <c r="B1695" s="23" t="inlineStr">
        <is>
          <t>TEMPLE Mercado Saludable</t>
        </is>
      </c>
      <c r="C1695" s="12" t="inlineStr">
        <is>
          <t>Almacen celiaco</t>
        </is>
      </c>
      <c r="D1695" s="12" t="inlineStr">
        <is>
          <t>Almacen celiaco</t>
        </is>
      </c>
      <c r="E1695" s="22" t="n">
        <v>21</v>
      </c>
      <c r="F1695" s="22" t="n">
        <v>12139</v>
      </c>
      <c r="G1695" s="24" t="inlineStr">
        <is>
          <t>https://guiarsanrafael.com.ar/empresa/temple-mercado-saludable/</t>
        </is>
      </c>
    </row>
    <row r="1696">
      <c r="A1696" s="19" t="n">
        <v>1695</v>
      </c>
      <c r="B1696" s="20" t="inlineStr">
        <is>
          <t>TERRA Entrenamiento Deportivo</t>
        </is>
      </c>
      <c r="C1696" s="14" t="inlineStr">
        <is>
          <t>Centro de rehabilitacion</t>
        </is>
      </c>
      <c r="D1696" s="14" t="inlineStr">
        <is>
          <t>Centro de rehabilitacion</t>
        </is>
      </c>
      <c r="E1696" s="19" t="n">
        <v>9</v>
      </c>
      <c r="F1696" s="19" t="n">
        <v>13965</v>
      </c>
      <c r="G1696" s="21" t="inlineStr">
        <is>
          <t>https://guiarsanrafael.com.ar/empresa/terra-entrenamiento-deportivo/</t>
        </is>
      </c>
    </row>
    <row r="1697">
      <c r="A1697" s="22" t="n">
        <v>1696</v>
      </c>
      <c r="B1697" s="23" t="inlineStr">
        <is>
          <t>TERRACOTA Muebles de Diseño</t>
        </is>
      </c>
      <c r="C1697" s="12" t="inlineStr">
        <is>
          <t>Amoblamientos</t>
        </is>
      </c>
      <c r="D1697" s="12" t="inlineStr">
        <is>
          <t>Decoracion</t>
        </is>
      </c>
      <c r="E1697" s="22" t="n">
        <v>13</v>
      </c>
      <c r="F1697" s="22" t="n">
        <v>13094</v>
      </c>
      <c r="G1697" s="24" t="inlineStr">
        <is>
          <t>https://guiarsanrafael.com.ar/empresa/terracota-muebles-de-diseno/</t>
        </is>
      </c>
    </row>
    <row r="1698">
      <c r="A1698" s="19" t="n">
        <v>1697</v>
      </c>
      <c r="B1698" s="20" t="inlineStr">
        <is>
          <t>TERROBA Gabriela</t>
        </is>
      </c>
      <c r="C1698" s="14" t="inlineStr">
        <is>
          <t>Escribanias escribanos escribanas mandatario mandataria notarios notarias</t>
        </is>
      </c>
      <c r="D1698" s="14" t="inlineStr">
        <is>
          <t>Escribanas</t>
        </is>
      </c>
      <c r="E1698" s="19" t="n">
        <v>78</v>
      </c>
      <c r="F1698" s="19" t="n">
        <v>8251</v>
      </c>
      <c r="G1698" s="21" t="inlineStr">
        <is>
          <t>https://guiarsanrafael.com.ar/empresa/terroba-gabriela/</t>
        </is>
      </c>
    </row>
    <row r="1699">
      <c r="A1699" s="22" t="n">
        <v>1698</v>
      </c>
      <c r="B1699" s="23" t="inlineStr">
        <is>
          <t>TERRUÑO Licores &amp; Vinos</t>
        </is>
      </c>
      <c r="C1699" s="12" t="inlineStr">
        <is>
          <t>Licoreria tienda de bebidas</t>
        </is>
      </c>
      <c r="D1699" s="12" t="inlineStr">
        <is>
          <t>Almacen de bebidas</t>
        </is>
      </c>
      <c r="E1699" s="22" t="n">
        <v>171</v>
      </c>
      <c r="F1699" s="22" t="n">
        <v>4362</v>
      </c>
      <c r="G1699" s="24" t="inlineStr">
        <is>
          <t>https://guiarsanrafael.com.ar/empresa/terruno-licores-vinos/</t>
        </is>
      </c>
    </row>
    <row r="1700">
      <c r="A1700" s="19" t="n">
        <v>1699</v>
      </c>
      <c r="B1700" s="20" t="inlineStr">
        <is>
          <t>TESLA Electricidad</t>
        </is>
      </c>
      <c r="C1700" s="14" t="inlineStr">
        <is>
          <t>Electricidad iluminacion</t>
        </is>
      </c>
      <c r="D1700" s="14" t="inlineStr">
        <is>
          <t>Electricidad</t>
        </is>
      </c>
      <c r="E1700" s="19" t="n">
        <v>13</v>
      </c>
      <c r="F1700" s="19" t="n">
        <v>13092</v>
      </c>
      <c r="G1700" s="21" t="inlineStr">
        <is>
          <t>https://guiarsanrafael.com.ar/empresa/tesla-electricidad/</t>
        </is>
      </c>
    </row>
    <row r="1701">
      <c r="A1701" s="22" t="n">
        <v>1700</v>
      </c>
      <c r="B1701" s="23" t="inlineStr">
        <is>
          <t>THE BIG BARBER</t>
        </is>
      </c>
      <c r="C1701" s="12" t="inlineStr">
        <is>
          <t>Barberias peluqueria barberos</t>
        </is>
      </c>
      <c r="D1701" s="12" t="inlineStr">
        <is>
          <t>Barberias</t>
        </is>
      </c>
      <c r="E1701" s="22" t="n">
        <v>9</v>
      </c>
      <c r="F1701" s="22" t="n">
        <v>13785</v>
      </c>
      <c r="G1701" s="24" t="inlineStr">
        <is>
          <t>https://guiarsanrafael.com.ar/empresa/the-big-barber/</t>
        </is>
      </c>
    </row>
    <row r="1702">
      <c r="A1702" s="19" t="n">
        <v>1701</v>
      </c>
      <c r="B1702" s="20" t="inlineStr">
        <is>
          <t>The Club  Restaurante</t>
        </is>
      </c>
      <c r="C1702" s="14" t="inlineStr">
        <is>
          <t>Restaurantes parrilas</t>
        </is>
      </c>
      <c r="D1702" s="14" t="inlineStr">
        <is>
          <t>Restaurantes</t>
        </is>
      </c>
      <c r="E1702" s="19" t="n">
        <v>38</v>
      </c>
      <c r="F1702" s="19" t="n">
        <v>10252</v>
      </c>
      <c r="G1702" s="21" t="inlineStr">
        <is>
          <t>https://guiarsanrafael.com.ar/empresa/the-club-restaurante/</t>
        </is>
      </c>
    </row>
    <row r="1703">
      <c r="A1703" s="22" t="n">
        <v>1702</v>
      </c>
      <c r="B1703" s="23" t="inlineStr">
        <is>
          <t>TIERRA DE MASCOTAS</t>
        </is>
      </c>
      <c r="C1703" s="12" t="inlineStr">
        <is>
          <t>Alimentos balanceados</t>
        </is>
      </c>
      <c r="D1703" s="12" t="inlineStr">
        <is>
          <t>Alimentos balanceados</t>
        </is>
      </c>
      <c r="E1703" s="22" t="n">
        <v>77</v>
      </c>
      <c r="F1703" s="22" t="n">
        <v>8308</v>
      </c>
      <c r="G1703" s="24" t="inlineStr">
        <is>
          <t>https://guiarsanrafael.com.ar/empresa/tierra-de-mascotas/</t>
        </is>
      </c>
    </row>
    <row r="1704">
      <c r="A1704" s="19" t="n">
        <v>1703</v>
      </c>
      <c r="B1704" s="20" t="inlineStr">
        <is>
          <t>TIERRA MORA Apart Hotel</t>
        </is>
      </c>
      <c r="C1704" s="14" t="inlineStr">
        <is>
          <t>Apar thotel</t>
        </is>
      </c>
      <c r="D1704" s="14" t="inlineStr">
        <is>
          <t>Alojamientos</t>
        </is>
      </c>
      <c r="E1704" s="19" t="n">
        <v>92</v>
      </c>
      <c r="F1704" s="19" t="n">
        <v>7833</v>
      </c>
      <c r="G1704" s="21" t="inlineStr">
        <is>
          <t>https://guiarsanrafael.com.ar/empresa/tierra-mora/</t>
        </is>
      </c>
    </row>
    <row r="1705">
      <c r="A1705" s="22" t="n">
        <v>1704</v>
      </c>
      <c r="B1705" s="23" t="inlineStr">
        <is>
          <t>TIMAX Fotocopiadoras</t>
        </is>
      </c>
      <c r="C1705" s="12" t="inlineStr">
        <is>
          <t>Fotocopiadoras servicio tecnico informatica electronica</t>
        </is>
      </c>
      <c r="D1705" s="12" t="inlineStr">
        <is>
          <t>Fotocopiadoras</t>
        </is>
      </c>
      <c r="E1705" s="22" t="n">
        <v>166</v>
      </c>
      <c r="F1705" s="22" t="n">
        <v>4879</v>
      </c>
      <c r="G1705" s="24" t="inlineStr">
        <is>
          <t>https://guiarsanrafael.com.ar/empresa/timax-fotocopiadoras/</t>
        </is>
      </c>
    </row>
    <row r="1706">
      <c r="A1706" s="19" t="n">
        <v>1705</v>
      </c>
      <c r="B1706" s="20" t="inlineStr">
        <is>
          <t>TINTORERIA PARIS</t>
        </is>
      </c>
      <c r="C1706" s="14" t="inlineStr">
        <is>
          <t>Lavanderias</t>
        </is>
      </c>
      <c r="D1706" s="14" t="inlineStr">
        <is>
          <t>Lavanderias</t>
        </is>
      </c>
      <c r="E1706" s="19" t="n">
        <v>173</v>
      </c>
      <c r="F1706" s="19" t="n">
        <v>4229</v>
      </c>
      <c r="G1706" s="21" t="inlineStr">
        <is>
          <t>https://guiarsanrafael.com.ar/empresa/tintoreria-paris/</t>
        </is>
      </c>
    </row>
    <row r="1707">
      <c r="A1707" s="22" t="n">
        <v>1706</v>
      </c>
      <c r="B1707" s="23" t="inlineStr">
        <is>
          <t>Todo Chapa</t>
        </is>
      </c>
      <c r="C1707" s="12" t="inlineStr">
        <is>
          <t>Autopartes</t>
        </is>
      </c>
      <c r="D1707" s="12" t="inlineStr">
        <is>
          <t>Autopartes</t>
        </is>
      </c>
      <c r="E1707" s="22" t="n">
        <v>74</v>
      </c>
      <c r="F1707" s="22" t="n">
        <v>8422</v>
      </c>
      <c r="G1707" s="24" t="inlineStr">
        <is>
          <t>https://guiarsanrafael.com.ar/empresa/todo-chapa/</t>
        </is>
      </c>
    </row>
    <row r="1708">
      <c r="A1708" s="19" t="n">
        <v>1707</v>
      </c>
      <c r="B1708" s="20" t="inlineStr">
        <is>
          <t>TODO OBRA Hogar &amp; Construcción</t>
        </is>
      </c>
      <c r="C1708" s="14" t="inlineStr">
        <is>
          <t>Materiales de construccion</t>
        </is>
      </c>
      <c r="D1708" s="14" t="inlineStr">
        <is>
          <t>Materiales de construccion</t>
        </is>
      </c>
      <c r="E1708" s="19" t="n">
        <v>90</v>
      </c>
      <c r="F1708" s="19" t="n">
        <v>7901</v>
      </c>
      <c r="G1708" s="21" t="inlineStr">
        <is>
          <t>https://guiarsanrafael.com.ar/empresa/todo-obra-hogar-construccion/</t>
        </is>
      </c>
    </row>
    <row r="1709">
      <c r="A1709" s="22" t="n">
        <v>1708</v>
      </c>
      <c r="B1709" s="23" t="inlineStr">
        <is>
          <t>TODO RICO La Casa de las Viandas</t>
        </is>
      </c>
      <c r="C1709" s="12" t="inlineStr">
        <is>
          <t>Casa de comidas rotiseria viandas</t>
        </is>
      </c>
      <c r="D1709" s="12" t="inlineStr">
        <is>
          <t>Casa de comidas</t>
        </is>
      </c>
      <c r="E1709" s="22" t="n">
        <v>40</v>
      </c>
      <c r="F1709" s="22" t="n">
        <v>10044</v>
      </c>
      <c r="G1709" s="24" t="inlineStr">
        <is>
          <t>https://guiarsanrafael.com.ar/empresa/todo-rico-la-casa-de-las-viandas/</t>
        </is>
      </c>
    </row>
    <row r="1710">
      <c r="A1710" s="19" t="n">
        <v>1709</v>
      </c>
      <c r="B1710" s="20" t="inlineStr">
        <is>
          <t>TOLDOS CUYO SR</t>
        </is>
      </c>
      <c r="C1710" s="14" t="inlineStr">
        <is>
          <t>Cortinados</t>
        </is>
      </c>
      <c r="D1710" s="14" t="inlineStr">
        <is>
          <t>Loneras</t>
        </is>
      </c>
      <c r="E1710" s="19" t="n">
        <v>22</v>
      </c>
      <c r="F1710" s="19" t="n">
        <v>11997</v>
      </c>
      <c r="G1710" s="21" t="inlineStr">
        <is>
          <t>https://guiarsanrafael.com.ar/empresa/toldos-cuyo-sr/</t>
        </is>
      </c>
    </row>
    <row r="1711">
      <c r="A1711" s="22" t="n">
        <v>1710</v>
      </c>
      <c r="B1711" s="23" t="inlineStr">
        <is>
          <t>TOLEDO Daniela Noemi</t>
        </is>
      </c>
      <c r="C1711" s="12" t="inlineStr">
        <is>
          <t>Escribanias escribanos escribanas mandatario mandataria notarios notarias</t>
        </is>
      </c>
      <c r="D1711" s="12" t="inlineStr">
        <is>
          <t>Escribanas</t>
        </is>
      </c>
      <c r="E1711" s="22" t="n">
        <v>78</v>
      </c>
      <c r="F1711" s="22" t="n">
        <v>8250</v>
      </c>
      <c r="G1711" s="24" t="inlineStr">
        <is>
          <t>https://guiarsanrafael.com.ar/empresa/toledo-daniela-noemi/</t>
        </is>
      </c>
    </row>
    <row r="1712">
      <c r="A1712" s="19" t="n">
        <v>1711</v>
      </c>
      <c r="B1712" s="20" t="inlineStr">
        <is>
          <t>TOLEDO Electricidad</t>
        </is>
      </c>
      <c r="C1712" s="14" t="inlineStr">
        <is>
          <t>Electricidad iluminacion</t>
        </is>
      </c>
      <c r="D1712" s="14" t="inlineStr">
        <is>
          <t>Electricidad</t>
        </is>
      </c>
      <c r="E1712" s="19" t="n">
        <v>77</v>
      </c>
      <c r="F1712" s="19" t="n">
        <v>8296</v>
      </c>
      <c r="G1712" s="21" t="inlineStr">
        <is>
          <t>https://guiarsanrafael.com.ar/empresa/toledo-electricidad/</t>
        </is>
      </c>
    </row>
    <row r="1713">
      <c r="A1713" s="22" t="n">
        <v>1712</v>
      </c>
      <c r="B1713" s="23" t="inlineStr">
        <is>
          <t>TOLY Clínica Veterinaria &amp; Laboratorio</t>
        </is>
      </c>
      <c r="C1713" s="12" t="inlineStr">
        <is>
          <t>Alimentos balanceados</t>
        </is>
      </c>
      <c r="D1713" s="12" t="inlineStr">
        <is>
          <t>Alimentos balanceados</t>
        </is>
      </c>
      <c r="E1713" s="22" t="n">
        <v>45</v>
      </c>
      <c r="F1713" s="22" t="n">
        <v>9649</v>
      </c>
      <c r="G1713" s="24" t="inlineStr">
        <is>
          <t>https://guiarsanrafael.com.ar/empresa/veterinaria-toly/</t>
        </is>
      </c>
    </row>
    <row r="1714">
      <c r="A1714" s="19" t="n">
        <v>1713</v>
      </c>
      <c r="B1714" s="20" t="inlineStr">
        <is>
          <t>TORRECILLA María Belén</t>
        </is>
      </c>
      <c r="C1714" s="14" t="inlineStr">
        <is>
          <t>Escribanias escribanos escribanas mandatario mandataria notarios notarias</t>
        </is>
      </c>
      <c r="D1714" s="14" t="inlineStr">
        <is>
          <t>Escribanas</t>
        </is>
      </c>
      <c r="E1714" s="19" t="n">
        <v>78</v>
      </c>
      <c r="F1714" s="19" t="n">
        <v>8253</v>
      </c>
      <c r="G1714" s="21" t="inlineStr">
        <is>
          <t>https://guiarsanrafael.com.ar/empresa/torrecilla-maria-belen/</t>
        </is>
      </c>
    </row>
    <row r="1715">
      <c r="A1715" s="22" t="n">
        <v>1714</v>
      </c>
      <c r="B1715" s="23" t="inlineStr">
        <is>
          <t>TORRECILLA Verónica Del Carmen</t>
        </is>
      </c>
      <c r="C1715" s="12" t="inlineStr">
        <is>
          <t>Escribanias escribanos escribanas mandatario mandataria notarios notarias</t>
        </is>
      </c>
      <c r="D1715" s="12" t="inlineStr">
        <is>
          <t>Escribanas</t>
        </is>
      </c>
      <c r="E1715" s="22" t="n">
        <v>78</v>
      </c>
      <c r="F1715" s="22" t="n">
        <v>8252</v>
      </c>
      <c r="G1715" s="24" t="inlineStr">
        <is>
          <t>https://guiarsanrafael.com.ar/empresa/torrecilla-veronica-del-carmen/</t>
        </is>
      </c>
    </row>
    <row r="1716">
      <c r="A1716" s="19" t="n">
        <v>1715</v>
      </c>
      <c r="B1716" s="20" t="inlineStr">
        <is>
          <t>Torres Janet</t>
        </is>
      </c>
      <c r="C1716" s="14" t="inlineStr">
        <is>
          <t>Psicopedagogia</t>
        </is>
      </c>
      <c r="D1716" s="14" t="inlineStr">
        <is>
          <t>Psicopedagogia</t>
        </is>
      </c>
      <c r="E1716" s="19" t="n">
        <v>143</v>
      </c>
      <c r="F1716" s="19" t="n">
        <v>5524</v>
      </c>
      <c r="G1716" s="21" t="inlineStr">
        <is>
          <t>https://guiarsanrafael.com.ar/empresa/torres-janet/</t>
        </is>
      </c>
    </row>
    <row r="1717">
      <c r="A1717" s="22" t="n">
        <v>1716</v>
      </c>
      <c r="B1717" s="23" t="inlineStr">
        <is>
          <t>TORRES Portones Automáticos</t>
        </is>
      </c>
      <c r="C1717" s="12" t="inlineStr">
        <is>
          <t>Automatizaciones</t>
        </is>
      </c>
      <c r="D1717" s="12" t="inlineStr">
        <is>
          <t>Automatizaciones</t>
        </is>
      </c>
      <c r="E1717" s="22" t="n">
        <v>68</v>
      </c>
      <c r="F1717" s="22" t="n">
        <v>8518</v>
      </c>
      <c r="G1717" s="24" t="inlineStr">
        <is>
          <t>https://guiarsanrafael.com.ar/empresa/torres-portones-automaticos/</t>
        </is>
      </c>
    </row>
    <row r="1718">
      <c r="A1718" s="19" t="n">
        <v>1717</v>
      </c>
      <c r="B1718" s="20" t="inlineStr">
        <is>
          <t>TOWER INN HOTEL &amp; SUITES</t>
        </is>
      </c>
      <c r="C1718" s="14" t="inlineStr">
        <is>
          <t>Hoteles hostel hoteleria</t>
        </is>
      </c>
      <c r="D1718" s="14" t="inlineStr">
        <is>
          <t>Alojamientos</t>
        </is>
      </c>
      <c r="E1718" s="19" t="n">
        <v>93</v>
      </c>
      <c r="F1718" s="19" t="n">
        <v>7829</v>
      </c>
      <c r="G1718" s="21" t="inlineStr">
        <is>
          <t>https://guiarsanrafael.com.ar/empresa/tower-inn-hotel-suites/</t>
        </is>
      </c>
    </row>
    <row r="1719">
      <c r="A1719" s="22" t="n">
        <v>1718</v>
      </c>
      <c r="B1719" s="23" t="inlineStr">
        <is>
          <t>TOYO SERVIS Automotores</t>
        </is>
      </c>
      <c r="C1719" s="12" t="inlineStr">
        <is>
          <t>Agencia de autos automotores</t>
        </is>
      </c>
      <c r="D1719" s="12" t="inlineStr">
        <is>
          <t>Agencia de autos</t>
        </is>
      </c>
      <c r="E1719" s="22" t="n">
        <v>62</v>
      </c>
      <c r="F1719" s="22" t="n">
        <v>8714</v>
      </c>
      <c r="G1719" s="24" t="inlineStr">
        <is>
          <t>https://guiarsanrafael.com.ar/empresa/toyo-servis-automotores/</t>
        </is>
      </c>
    </row>
    <row r="1720">
      <c r="A1720" s="19" t="n">
        <v>1719</v>
      </c>
      <c r="B1720" s="20" t="inlineStr">
        <is>
          <t>Tractores Romero</t>
        </is>
      </c>
      <c r="C1720" s="14" t="inlineStr">
        <is>
          <t>Maquinarias agricolas</t>
        </is>
      </c>
      <c r="D1720" s="14" t="inlineStr">
        <is>
          <t>Maquinarias agricolas</t>
        </is>
      </c>
      <c r="E1720" s="19" t="n">
        <v>70</v>
      </c>
      <c r="F1720" s="19" t="n">
        <v>8476</v>
      </c>
      <c r="G1720" s="21" t="inlineStr">
        <is>
          <t>https://guiarsanrafael.com.ar/empresa/tractores-romero/</t>
        </is>
      </c>
    </row>
    <row r="1721">
      <c r="A1721" s="22" t="n">
        <v>1720</v>
      </c>
      <c r="B1721" s="23" t="inlineStr">
        <is>
          <t>TRANSPORTE DON LUCHO</t>
        </is>
      </c>
      <c r="C1721" s="12" t="inlineStr">
        <is>
          <t>Expresos transporte encomiendas</t>
        </is>
      </c>
      <c r="D1721" s="12" t="inlineStr">
        <is>
          <t>Emcomiendas</t>
        </is>
      </c>
      <c r="E1721" s="22" t="n">
        <v>126</v>
      </c>
      <c r="F1721" s="22" t="n">
        <v>6602</v>
      </c>
      <c r="G1721" s="24" t="inlineStr">
        <is>
          <t>https://guiarsanrafael.com.ar/empresa/transporte-don-lucho/</t>
        </is>
      </c>
    </row>
    <row r="1722">
      <c r="A1722" s="19" t="n">
        <v>1721</v>
      </c>
      <c r="B1722" s="20" t="inlineStr">
        <is>
          <t>TRES BUDAS Productos para Yoga</t>
        </is>
      </c>
      <c r="C1722" s="14" t="inlineStr">
        <is>
          <t>Accesorios deportivos</t>
        </is>
      </c>
      <c r="D1722" s="14" t="inlineStr">
        <is>
          <t>Accesorios deportivos</t>
        </is>
      </c>
      <c r="E1722" s="19" t="n">
        <v>5</v>
      </c>
      <c r="F1722" s="19" t="n">
        <v>14449</v>
      </c>
      <c r="G1722" s="21" t="inlineStr">
        <is>
          <t>https://guiarsanrafael.com.ar/empresa/tres-budas-productos-para-yoga/</t>
        </is>
      </c>
    </row>
    <row r="1723">
      <c r="A1723" s="22" t="n">
        <v>1722</v>
      </c>
      <c r="B1723" s="23" t="inlineStr">
        <is>
          <t>TRIAC GAME</t>
        </is>
      </c>
      <c r="C1723" s="12" t="inlineStr">
        <is>
          <t>Accesorios de telefonia celular</t>
        </is>
      </c>
      <c r="D1723" s="12" t="inlineStr">
        <is>
          <t>Accesorios de telefonia</t>
        </is>
      </c>
      <c r="E1723" s="22" t="n">
        <v>138</v>
      </c>
      <c r="F1723" s="22" t="n">
        <v>5798</v>
      </c>
      <c r="G1723" s="24" t="inlineStr">
        <is>
          <t>https://guiarsanrafael.com.ar/empresa/triac-game/</t>
        </is>
      </c>
    </row>
    <row r="1724">
      <c r="A1724" s="19" t="n">
        <v>1723</v>
      </c>
      <c r="B1724" s="20" t="inlineStr">
        <is>
          <t>Trollano Iván</t>
        </is>
      </c>
      <c r="C1724" s="14" t="inlineStr">
        <is>
          <t>Abogados abogadas estudios juridicos</t>
        </is>
      </c>
      <c r="D1724" s="14" t="inlineStr">
        <is>
          <t>Abogados</t>
        </is>
      </c>
      <c r="E1724" s="19" t="n">
        <v>114</v>
      </c>
      <c r="F1724" s="19" t="n">
        <v>7173</v>
      </c>
      <c r="G1724" s="21" t="inlineStr">
        <is>
          <t>https://guiarsanrafael.com.ar/empresa/trollano-ivan/</t>
        </is>
      </c>
    </row>
    <row r="1725">
      <c r="A1725" s="22" t="n">
        <v>1724</v>
      </c>
      <c r="B1725" s="23" t="inlineStr">
        <is>
          <t>TROYANO MOTORS</t>
        </is>
      </c>
      <c r="C1725" s="12" t="inlineStr">
        <is>
          <t>Agencia de autos automotores</t>
        </is>
      </c>
      <c r="D1725" s="12" t="inlineStr">
        <is>
          <t>Agencia de autos</t>
        </is>
      </c>
      <c r="E1725" s="22" t="n">
        <v>19</v>
      </c>
      <c r="F1725" s="22" t="n">
        <v>12374</v>
      </c>
      <c r="G1725" s="24" t="inlineStr">
        <is>
          <t>https://guiarsanrafael.com.ar/empresa/troyano-motors/</t>
        </is>
      </c>
    </row>
    <row r="1726">
      <c r="A1726" s="19" t="n">
        <v>1725</v>
      </c>
      <c r="B1726" s="20" t="inlineStr">
        <is>
          <t>TU TAXI</t>
        </is>
      </c>
      <c r="C1726" s="14" t="inlineStr">
        <is>
          <t>Taxis remises</t>
        </is>
      </c>
      <c r="D1726" s="14" t="inlineStr">
        <is>
          <t>Taxis y remises</t>
        </is>
      </c>
      <c r="E1726" s="19" t="n">
        <v>34</v>
      </c>
      <c r="F1726" s="19" t="n">
        <v>10448</v>
      </c>
      <c r="G1726" s="21" t="inlineStr">
        <is>
          <t>https://guiarsanrafael.com.ar/empresa/tu-taxi/</t>
        </is>
      </c>
    </row>
    <row r="1727">
      <c r="A1727" s="22" t="n">
        <v>1726</v>
      </c>
      <c r="B1727" s="23" t="inlineStr">
        <is>
          <t>UCASAL San Rafael</t>
        </is>
      </c>
      <c r="C1727" s="12" t="inlineStr">
        <is>
          <t>Educacion</t>
        </is>
      </c>
      <c r="D1727" s="12" t="inlineStr">
        <is>
          <t>Carreras cortas</t>
        </is>
      </c>
      <c r="E1727" s="22" t="n">
        <v>41</v>
      </c>
      <c r="F1727" s="22" t="n">
        <v>9991</v>
      </c>
      <c r="G1727" s="24" t="inlineStr">
        <is>
          <t>https://guiarsanrafael.com.ar/empresa/ucasal-san-rafael/</t>
        </is>
      </c>
    </row>
    <row r="1728">
      <c r="A1728" s="19" t="n">
        <v>1727</v>
      </c>
      <c r="B1728" s="20" t="inlineStr">
        <is>
          <t>UFasta San Rafael</t>
        </is>
      </c>
      <c r="C1728" s="14" t="inlineStr">
        <is>
          <t>Educacion</t>
        </is>
      </c>
      <c r="D1728" s="14" t="inlineStr">
        <is>
          <t>Carreras cortas</t>
        </is>
      </c>
      <c r="E1728" s="19" t="n">
        <v>30</v>
      </c>
      <c r="F1728" s="19" t="n">
        <v>11088</v>
      </c>
      <c r="G1728" s="21" t="inlineStr">
        <is>
          <t>https://guiarsanrafael.com.ar/empresa/ufasta-san-rafael/</t>
        </is>
      </c>
    </row>
    <row r="1729">
      <c r="A1729" s="22" t="n">
        <v>1728</v>
      </c>
      <c r="B1729" s="23" t="inlineStr">
        <is>
          <t>UNICA Salón de Belleza</t>
        </is>
      </c>
      <c r="C1729" s="12" t="inlineStr">
        <is>
          <t>Centro de estetica</t>
        </is>
      </c>
      <c r="D1729" s="12" t="inlineStr">
        <is>
          <t>Centro de estetica</t>
        </is>
      </c>
      <c r="E1729" s="22" t="n">
        <v>173</v>
      </c>
      <c r="F1729" s="22" t="n">
        <v>4194</v>
      </c>
      <c r="G1729" s="24" t="inlineStr">
        <is>
          <t>https://guiarsanrafael.com.ar/empresa/unica-salon-de-belleza/</t>
        </is>
      </c>
    </row>
    <row r="1730">
      <c r="A1730" s="19" t="n">
        <v>1729</v>
      </c>
      <c r="B1730" s="20" t="inlineStr">
        <is>
          <t>URBANA MEDICA</t>
        </is>
      </c>
      <c r="C1730" s="14" t="inlineStr">
        <is>
          <t>Consultorios medicos</t>
        </is>
      </c>
      <c r="D1730" s="14" t="inlineStr">
        <is>
          <t>Consultorios medicos</t>
        </is>
      </c>
      <c r="E1730" s="19" t="n">
        <v>128</v>
      </c>
      <c r="F1730" s="19" t="n">
        <v>6497</v>
      </c>
      <c r="G1730" s="21" t="inlineStr">
        <is>
          <t>https://guiarsanrafael.com.ar/empresa/urbana-medica/</t>
        </is>
      </c>
    </row>
    <row r="1731">
      <c r="A1731" s="22" t="n">
        <v>1730</v>
      </c>
      <c r="B1731" s="23" t="inlineStr">
        <is>
          <t>URBANA MEDICA 2</t>
        </is>
      </c>
      <c r="C1731" s="12" t="inlineStr">
        <is>
          <t>Consultorios medicos</t>
        </is>
      </c>
      <c r="D1731" s="12" t="inlineStr">
        <is>
          <t>Consultorios medicos</t>
        </is>
      </c>
      <c r="E1731" s="22" t="n">
        <v>128</v>
      </c>
      <c r="F1731" s="22" t="n">
        <v>6498</v>
      </c>
      <c r="G1731" s="24" t="inlineStr">
        <is>
          <t>https://guiarsanrafael.com.ar/empresa/urbana-medica-2/</t>
        </is>
      </c>
    </row>
    <row r="1732">
      <c r="A1732" s="19" t="n">
        <v>1731</v>
      </c>
      <c r="B1732" s="20" t="inlineStr">
        <is>
          <t>Uvas Cosméticos</t>
        </is>
      </c>
      <c r="C1732" s="14" t="inlineStr">
        <is>
          <t>Cosmetica cosmetologia cosmetologa cosmiatra</t>
        </is>
      </c>
      <c r="D1732" s="14" t="inlineStr">
        <is>
          <t>Cosmetica perfumeria</t>
        </is>
      </c>
      <c r="E1732" s="19" t="n">
        <v>65</v>
      </c>
      <c r="F1732" s="19" t="n">
        <v>8639</v>
      </c>
      <c r="G1732" s="21" t="inlineStr">
        <is>
          <t>https://guiarsanrafael.com.ar/empresa/uvas-cosmeticos-tomas-godoy-cruz-60-260-429-3340/</t>
        </is>
      </c>
    </row>
    <row r="1733">
      <c r="A1733" s="22" t="n">
        <v>1732</v>
      </c>
      <c r="B1733" s="23" t="inlineStr">
        <is>
          <t>Valdivia Christel Beatriz</t>
        </is>
      </c>
      <c r="C1733" s="12" t="inlineStr">
        <is>
          <t>Abogados abogadas estudios juridicos</t>
        </is>
      </c>
      <c r="D1733" s="12" t="inlineStr">
        <is>
          <t>Abogadas</t>
        </is>
      </c>
      <c r="E1733" s="22" t="n">
        <v>116</v>
      </c>
      <c r="F1733" s="22" t="n">
        <v>7156</v>
      </c>
      <c r="G1733" s="24" t="inlineStr">
        <is>
          <t>https://guiarsanrafael.com.ar/empresa/valdivia-christel-beatriz/</t>
        </is>
      </c>
    </row>
    <row r="1734">
      <c r="A1734" s="19" t="n">
        <v>1733</v>
      </c>
      <c r="B1734" s="20" t="inlineStr">
        <is>
          <t>VALENTI Equipamientos 4×4</t>
        </is>
      </c>
      <c r="C1734" s="14" t="inlineStr">
        <is>
          <t>Accesorios para el aumomotor</t>
        </is>
      </c>
      <c r="D1734" s="14" t="inlineStr">
        <is>
          <t>Accesorios del automotor</t>
        </is>
      </c>
      <c r="E1734" s="19" t="n">
        <v>29</v>
      </c>
      <c r="F1734" s="19" t="n">
        <v>11129</v>
      </c>
      <c r="G1734" s="21" t="inlineStr">
        <is>
          <t>https://guiarsanrafael.com.ar/empresa/valenti-equipamientos-4x4/</t>
        </is>
      </c>
    </row>
    <row r="1735">
      <c r="A1735" s="22" t="n">
        <v>1734</v>
      </c>
      <c r="B1735" s="23" t="inlineStr">
        <is>
          <t>VALENTIN Electrónica Automotriz</t>
        </is>
      </c>
      <c r="C1735" s="12" t="inlineStr">
        <is>
          <t>Diagnostico computarizado mecanica</t>
        </is>
      </c>
      <c r="D1735" s="12" t="inlineStr">
        <is>
          <t>Diagnostico computarizado</t>
        </is>
      </c>
      <c r="E1735" s="22" t="n">
        <v>123</v>
      </c>
      <c r="F1735" s="22" t="n">
        <v>6887</v>
      </c>
      <c r="G1735" s="24" t="inlineStr">
        <is>
          <t>https://guiarsanrafael.com.ar/empresa/6887/</t>
        </is>
      </c>
    </row>
    <row r="1736">
      <c r="A1736" s="19" t="n">
        <v>1735</v>
      </c>
      <c r="B1736" s="20" t="inlineStr">
        <is>
          <t>Valentina Lara</t>
        </is>
      </c>
      <c r="C1736" s="14" t="inlineStr">
        <is>
          <t>Clinica del lenguaje</t>
        </is>
      </c>
      <c r="D1736" s="14" t="inlineStr">
        <is>
          <t>Clinica del lenguaje</t>
        </is>
      </c>
      <c r="E1736" s="19" t="n">
        <v>157</v>
      </c>
      <c r="F1736" s="19" t="n">
        <v>5314</v>
      </c>
      <c r="G1736" s="21" t="inlineStr">
        <is>
          <t>https://guiarsanrafael.com.ar/empresa/valentina-lara/</t>
        </is>
      </c>
    </row>
    <row r="1737">
      <c r="A1737" s="22" t="n">
        <v>1736</v>
      </c>
      <c r="B1737" s="23" t="inlineStr">
        <is>
          <t>Valentina Marinelli</t>
        </is>
      </c>
      <c r="C1737" s="12" t="inlineStr">
        <is>
          <t>Kinesiologia y fisioterapia</t>
        </is>
      </c>
      <c r="D1737" s="12" t="inlineStr">
        <is>
          <t>Kinesiologia y fisioterapia</t>
        </is>
      </c>
      <c r="E1737" s="22" t="n">
        <v>152</v>
      </c>
      <c r="F1737" s="22" t="n">
        <v>5394</v>
      </c>
      <c r="G1737" s="24" t="inlineStr">
        <is>
          <t>https://guiarsanrafael.com.ar/empresa/valentina-marinelli/</t>
        </is>
      </c>
    </row>
    <row r="1738">
      <c r="A1738" s="19" t="n">
        <v>1737</v>
      </c>
      <c r="B1738" s="20" t="inlineStr">
        <is>
          <t>Valentina Romaniuk</t>
        </is>
      </c>
      <c r="C1738" s="14" t="inlineStr">
        <is>
          <t>Kinesiologia y fisioterapia</t>
        </is>
      </c>
      <c r="D1738" s="14" t="inlineStr">
        <is>
          <t>Kinesiologia y fisioterapia</t>
        </is>
      </c>
      <c r="E1738" s="19" t="n">
        <v>151</v>
      </c>
      <c r="F1738" s="19" t="n">
        <v>5405</v>
      </c>
      <c r="G1738" s="21" t="inlineStr">
        <is>
          <t>https://guiarsanrafael.com.ar/empresa/valentina-romaniuk/</t>
        </is>
      </c>
    </row>
    <row r="1739">
      <c r="A1739" s="22" t="n">
        <v>1738</v>
      </c>
      <c r="B1739" s="23" t="inlineStr">
        <is>
          <t>Valentín Camerucci</t>
        </is>
      </c>
      <c r="C1739" s="12" t="inlineStr">
        <is>
          <t>Kinesiologia y fisioterapia</t>
        </is>
      </c>
      <c r="D1739" s="12" t="inlineStr">
        <is>
          <t>Kinesiologia y fisioterapia</t>
        </is>
      </c>
      <c r="E1739" s="22" t="n">
        <v>153</v>
      </c>
      <c r="F1739" s="22" t="n">
        <v>5378</v>
      </c>
      <c r="G1739" s="24" t="inlineStr">
        <is>
          <t>https://guiarsanrafael.com.ar/empresa/valentin-camerucci/</t>
        </is>
      </c>
    </row>
    <row r="1740">
      <c r="A1740" s="19" t="n">
        <v>1739</v>
      </c>
      <c r="B1740" s="20" t="inlineStr">
        <is>
          <t>Valeria Fernández</t>
        </is>
      </c>
      <c r="C1740" s="14" t="inlineStr">
        <is>
          <t>Nutricion nutricionistas</t>
        </is>
      </c>
      <c r="D1740" s="14" t="inlineStr">
        <is>
          <t>Nutricionistas</t>
        </is>
      </c>
      <c r="E1740" s="19" t="n">
        <v>150</v>
      </c>
      <c r="F1740" s="19" t="n">
        <v>5423</v>
      </c>
      <c r="G1740" s="21" t="inlineStr">
        <is>
          <t>https://guiarsanrafael.com.ar/empresa/valeria-fernandez/</t>
        </is>
      </c>
    </row>
    <row r="1741">
      <c r="A1741" s="22" t="n">
        <v>1740</v>
      </c>
      <c r="B1741" s="23" t="inlineStr">
        <is>
          <t>Valeria Ponce de León</t>
        </is>
      </c>
      <c r="C1741" s="12" t="inlineStr">
        <is>
          <t>Odontologia</t>
        </is>
      </c>
      <c r="D1741" s="12" t="inlineStr">
        <is>
          <t>Odontologia</t>
        </is>
      </c>
      <c r="E1741" s="22" t="n">
        <v>100</v>
      </c>
      <c r="F1741" s="22" t="n">
        <v>7459</v>
      </c>
      <c r="G1741" s="24" t="inlineStr">
        <is>
          <t>https://guiarsanrafael.com.ar/empresa/valeria-ponce-de-leon/</t>
        </is>
      </c>
    </row>
    <row r="1742">
      <c r="A1742" s="19" t="n">
        <v>1741</v>
      </c>
      <c r="B1742" s="20" t="inlineStr">
        <is>
          <t>VALERIA SARMIENTO</t>
        </is>
      </c>
      <c r="C1742" s="14" t="inlineStr">
        <is>
          <t>Abogados abogadas estudios juridicos</t>
        </is>
      </c>
      <c r="D1742" s="14" t="inlineStr">
        <is>
          <t>Abogadas</t>
        </is>
      </c>
      <c r="E1742" s="19" t="n">
        <v>131</v>
      </c>
      <c r="F1742" s="19" t="n">
        <v>6258</v>
      </c>
      <c r="G1742" s="21" t="inlineStr">
        <is>
          <t>https://guiarsanrafael.com.ar/empresa/valeria-sarmiento/</t>
        </is>
      </c>
    </row>
    <row r="1743">
      <c r="A1743" s="22" t="n">
        <v>1742</v>
      </c>
      <c r="B1743" s="23" t="inlineStr">
        <is>
          <t>VALERIA SORROCHE</t>
        </is>
      </c>
      <c r="C1743" s="12" t="inlineStr">
        <is>
          <t>Escribanias escribanos escribanas mandatario mandataria notarios notarias</t>
        </is>
      </c>
      <c r="D1743" s="12" t="inlineStr">
        <is>
          <t>Escribanas</t>
        </is>
      </c>
      <c r="E1743" s="22" t="n">
        <v>167</v>
      </c>
      <c r="F1743" s="22" t="n">
        <v>4800</v>
      </c>
      <c r="G1743" s="24" t="inlineStr">
        <is>
          <t>https://guiarsanrafael.com.ar/empresa/valeria-sorroche/</t>
        </is>
      </c>
    </row>
    <row r="1744">
      <c r="A1744" s="19" t="n">
        <v>1743</v>
      </c>
      <c r="B1744" s="20" t="inlineStr">
        <is>
          <t>VALLE GRANDE Hotel de Montaña Resort &amp; Spa</t>
        </is>
      </c>
      <c r="C1744" s="14" t="inlineStr">
        <is>
          <t>Hoteles hostel hoteleria</t>
        </is>
      </c>
      <c r="D1744" s="14" t="inlineStr">
        <is>
          <t>Alojamientos</t>
        </is>
      </c>
      <c r="E1744" s="19" t="n">
        <v>91</v>
      </c>
      <c r="F1744" s="19" t="n">
        <v>7852</v>
      </c>
      <c r="G1744" s="21" t="inlineStr">
        <is>
          <t>https://guiarsanrafael.com.ar/empresa/valle-grande-hotel-de-montana-resort-spa/</t>
        </is>
      </c>
    </row>
    <row r="1745">
      <c r="A1745" s="22" t="n">
        <v>1744</v>
      </c>
      <c r="B1745" s="23" t="inlineStr">
        <is>
          <t>VANESA ANDREONI</t>
        </is>
      </c>
      <c r="C1745" s="12" t="inlineStr">
        <is>
          <t>Kinesiologia y fisioterapia</t>
        </is>
      </c>
      <c r="D1745" s="12" t="inlineStr">
        <is>
          <t>Centro de estetica</t>
        </is>
      </c>
      <c r="E1745" s="22" t="n">
        <v>96</v>
      </c>
      <c r="F1745" s="22" t="n">
        <v>7591</v>
      </c>
      <c r="G1745" s="24" t="inlineStr">
        <is>
          <t>https://guiarsanrafael.com.ar/empresa/7591/</t>
        </is>
      </c>
    </row>
    <row r="1746">
      <c r="A1746" s="19" t="n">
        <v>1745</v>
      </c>
      <c r="B1746" s="20" t="inlineStr">
        <is>
          <t>VANESA CORDERO</t>
        </is>
      </c>
      <c r="C1746" s="14" t="inlineStr">
        <is>
          <t>Neumonologia</t>
        </is>
      </c>
      <c r="D1746" s="14" t="inlineStr">
        <is>
          <t>Clinica medica</t>
        </is>
      </c>
      <c r="E1746" s="19" t="n">
        <v>150</v>
      </c>
      <c r="F1746" s="19" t="n">
        <v>5414</v>
      </c>
      <c r="G1746" s="21" t="inlineStr">
        <is>
          <t>https://guiarsanrafael.com.ar/empresa/vanesa-cordero/</t>
        </is>
      </c>
    </row>
    <row r="1747">
      <c r="A1747" s="22" t="n">
        <v>1746</v>
      </c>
      <c r="B1747" s="23" t="inlineStr">
        <is>
          <t>Vanesa Coria</t>
        </is>
      </c>
      <c r="C1747" s="12" t="inlineStr">
        <is>
          <t>Kinesiologia y fisioterapia</t>
        </is>
      </c>
      <c r="D1747" s="12" t="inlineStr">
        <is>
          <t>Kinesiologia y fisioterapia</t>
        </is>
      </c>
      <c r="E1747" s="22" t="n">
        <v>153</v>
      </c>
      <c r="F1747" s="22" t="n">
        <v>5384</v>
      </c>
      <c r="G1747" s="24" t="inlineStr">
        <is>
          <t>https://guiarsanrafael.com.ar/empresa/vanesa-coria/</t>
        </is>
      </c>
    </row>
    <row r="1748">
      <c r="A1748" s="19" t="n">
        <v>1747</v>
      </c>
      <c r="B1748" s="20" t="inlineStr">
        <is>
          <t>Vanina Chaine</t>
        </is>
      </c>
      <c r="C1748" s="14" t="inlineStr">
        <is>
          <t>Psicologia</t>
        </is>
      </c>
      <c r="D1748" s="14" t="inlineStr">
        <is>
          <t>Psicologia</t>
        </is>
      </c>
      <c r="E1748" s="19" t="n">
        <v>145</v>
      </c>
      <c r="F1748" s="19" t="n">
        <v>5500</v>
      </c>
      <c r="G1748" s="21" t="inlineStr">
        <is>
          <t>https://guiarsanrafael.com.ar/empresa/vanina-chaine/</t>
        </is>
      </c>
    </row>
    <row r="1749">
      <c r="A1749" s="22" t="n">
        <v>1748</v>
      </c>
      <c r="B1749" s="23" t="inlineStr">
        <is>
          <t>Vanina del Carmen Alba</t>
        </is>
      </c>
      <c r="C1749" s="12" t="inlineStr">
        <is>
          <t>Odontologia</t>
        </is>
      </c>
      <c r="D1749" s="12" t="inlineStr">
        <is>
          <t>Odontologia</t>
        </is>
      </c>
      <c r="E1749" s="22" t="n">
        <v>105</v>
      </c>
      <c r="F1749" s="22" t="n">
        <v>7358</v>
      </c>
      <c r="G1749" s="24" t="inlineStr">
        <is>
          <t>https://guiarsanrafael.com.ar/empresa/vanina-del-carmen-alba/</t>
        </is>
      </c>
    </row>
    <row r="1750">
      <c r="A1750" s="19" t="n">
        <v>1749</v>
      </c>
      <c r="B1750" s="20" t="inlineStr">
        <is>
          <t>VANINA LUGEA</t>
        </is>
      </c>
      <c r="C1750" s="14" t="inlineStr">
        <is>
          <t>Estilistas peluqueria barberias</t>
        </is>
      </c>
      <c r="D1750" s="14" t="inlineStr">
        <is>
          <t>Peluqueria</t>
        </is>
      </c>
      <c r="E1750" s="19" t="n">
        <v>123</v>
      </c>
      <c r="F1750" s="19" t="n">
        <v>6824</v>
      </c>
      <c r="G1750" s="21" t="inlineStr">
        <is>
          <t>https://guiarsanrafael.com.ar/empresa/vanina-lugea/</t>
        </is>
      </c>
    </row>
    <row r="1751">
      <c r="A1751" s="22" t="n">
        <v>1750</v>
      </c>
      <c r="B1751" s="23" t="inlineStr">
        <is>
          <t>Vavalá Silvana</t>
        </is>
      </c>
      <c r="C1751" s="12" t="inlineStr">
        <is>
          <t>Abogados abogadas estudios juridicos</t>
        </is>
      </c>
      <c r="D1751" s="12" t="inlineStr">
        <is>
          <t>Abogadas</t>
        </is>
      </c>
      <c r="E1751" s="22" t="n">
        <v>115</v>
      </c>
      <c r="F1751" s="22" t="n">
        <v>7161</v>
      </c>
      <c r="G1751" s="24" t="inlineStr">
        <is>
          <t>https://guiarsanrafael.com.ar/empresa/vavala-silvana/</t>
        </is>
      </c>
    </row>
    <row r="1752">
      <c r="A1752" s="19" t="n">
        <v>1751</v>
      </c>
      <c r="B1752" s="20" t="inlineStr">
        <is>
          <t>VC INFORMÁTICA</t>
        </is>
      </c>
      <c r="C1752" s="14" t="inlineStr">
        <is>
          <t>Computacion informatica</t>
        </is>
      </c>
      <c r="D1752" s="14" t="inlineStr">
        <is>
          <t>Computacion</t>
        </is>
      </c>
      <c r="E1752" s="19" t="n">
        <v>137</v>
      </c>
      <c r="F1752" s="19" t="n">
        <v>5829</v>
      </c>
      <c r="G1752" s="21" t="inlineStr">
        <is>
          <t>https://guiarsanrafael.com.ar/empresa/vc-informatica/</t>
        </is>
      </c>
    </row>
    <row r="1753">
      <c r="A1753" s="22" t="n">
        <v>1752</v>
      </c>
      <c r="B1753" s="23" t="inlineStr">
        <is>
          <t>VECCHIA TERRA Apart Hotel</t>
        </is>
      </c>
      <c r="C1753" s="12" t="inlineStr">
        <is>
          <t>Apar thotel</t>
        </is>
      </c>
      <c r="D1753" s="12" t="inlineStr">
        <is>
          <t>Alojamientos</t>
        </is>
      </c>
      <c r="E1753" s="22" t="n">
        <v>92</v>
      </c>
      <c r="F1753" s="22" t="n">
        <v>7837</v>
      </c>
      <c r="G1753" s="24" t="inlineStr">
        <is>
          <t>https://guiarsanrafael.com.ar/empresa/vecchia-terra-apart-hotel/</t>
        </is>
      </c>
    </row>
    <row r="1754">
      <c r="A1754" s="19" t="n">
        <v>1753</v>
      </c>
      <c r="B1754" s="20" t="inlineStr">
        <is>
          <t>Velasco Francisco Alejandro</t>
        </is>
      </c>
      <c r="C1754" s="14" t="inlineStr">
        <is>
          <t>Abogados abogadas estudios juridicos</t>
        </is>
      </c>
      <c r="D1754" s="14" t="inlineStr">
        <is>
          <t>Abogados</t>
        </is>
      </c>
      <c r="E1754" s="19" t="n">
        <v>109</v>
      </c>
      <c r="F1754" s="19" t="n">
        <v>7241</v>
      </c>
      <c r="G1754" s="21" t="inlineStr">
        <is>
          <t>https://guiarsanrafael.com.ar/empresa/velasco-francisco-alejandro/</t>
        </is>
      </c>
    </row>
    <row r="1755">
      <c r="A1755" s="22" t="n">
        <v>1754</v>
      </c>
      <c r="B1755" s="23" t="inlineStr">
        <is>
          <t>VELEZ Lubricantes y Repuestos</t>
        </is>
      </c>
      <c r="C1755" s="12" t="inlineStr">
        <is>
          <t>Lubricantes aceites lubricentro</t>
        </is>
      </c>
      <c r="D1755" s="12" t="inlineStr">
        <is>
          <t>Lubricantes</t>
        </is>
      </c>
      <c r="E1755" s="22" t="n">
        <v>48</v>
      </c>
      <c r="F1755" s="22" t="n">
        <v>9378</v>
      </c>
      <c r="G1755" s="24" t="inlineStr">
        <is>
          <t>https://guiarsanrafael.com.ar/empresa/velez-lubricantes-y-repuestos/</t>
        </is>
      </c>
    </row>
    <row r="1756">
      <c r="A1756" s="19" t="n">
        <v>1755</v>
      </c>
      <c r="B1756" s="20" t="inlineStr">
        <is>
          <t>Vera	Erika Johana</t>
        </is>
      </c>
      <c r="C1756" s="14" t="inlineStr">
        <is>
          <t>Abogados abogadas estudios juridicos</t>
        </is>
      </c>
      <c r="D1756" s="14" t="inlineStr">
        <is>
          <t>Abogadas</t>
        </is>
      </c>
      <c r="E1756" s="19" t="n">
        <v>109</v>
      </c>
      <c r="F1756" s="19" t="n">
        <v>7227</v>
      </c>
      <c r="G1756" s="21" t="inlineStr">
        <is>
          <t>https://guiarsanrafael.com.ar/empresa/veraerika-johana/</t>
        </is>
      </c>
    </row>
    <row r="1757">
      <c r="A1757" s="22" t="n">
        <v>1756</v>
      </c>
      <c r="B1757" s="23" t="inlineStr">
        <is>
          <t>VERDULERIA AVENIDA</t>
        </is>
      </c>
      <c r="C1757" s="12" t="inlineStr">
        <is>
          <t>Verdulerias</t>
        </is>
      </c>
      <c r="D1757" s="12" t="inlineStr">
        <is>
          <t>Verdulerias</t>
        </is>
      </c>
      <c r="E1757" s="22" t="n">
        <v>40</v>
      </c>
      <c r="F1757" s="22" t="n">
        <v>10092</v>
      </c>
      <c r="G1757" s="24" t="inlineStr">
        <is>
          <t>https://guiarsanrafael.com.ar/empresa/verduleria-avenida/</t>
        </is>
      </c>
    </row>
    <row r="1758">
      <c r="A1758" s="19" t="n">
        <v>1757</v>
      </c>
      <c r="B1758" s="20" t="inlineStr">
        <is>
          <t>Veronica Castan</t>
        </is>
      </c>
      <c r="C1758" s="14" t="inlineStr">
        <is>
          <t>Odontologia</t>
        </is>
      </c>
      <c r="D1758" s="14" t="inlineStr">
        <is>
          <t>Odontologia</t>
        </is>
      </c>
      <c r="E1758" s="19" t="n">
        <v>104</v>
      </c>
      <c r="F1758" s="19" t="n">
        <v>7372</v>
      </c>
      <c r="G1758" s="21" t="inlineStr">
        <is>
          <t>https://guiarsanrafael.com.ar/empresa/veronica-castan/</t>
        </is>
      </c>
    </row>
    <row r="1759">
      <c r="A1759" s="22" t="n">
        <v>1758</v>
      </c>
      <c r="B1759" s="23" t="inlineStr">
        <is>
          <t>VERONICA MARTINEZ</t>
        </is>
      </c>
      <c r="C1759" s="12" t="inlineStr">
        <is>
          <t>Pediatria neonatologia</t>
        </is>
      </c>
      <c r="D1759" s="12" t="inlineStr">
        <is>
          <t>Pediatria y neonatologia</t>
        </is>
      </c>
      <c r="E1759" s="22" t="n">
        <v>120</v>
      </c>
      <c r="F1759" s="22" t="n">
        <v>7061</v>
      </c>
      <c r="G1759" s="24" t="inlineStr">
        <is>
          <t>https://guiarsanrafael.com.ar/empresa/veronica-martinez/</t>
        </is>
      </c>
    </row>
    <row r="1760">
      <c r="A1760" s="19" t="n">
        <v>1759</v>
      </c>
      <c r="B1760" s="20" t="inlineStr">
        <is>
          <t>VERTERINARIA ROCA</t>
        </is>
      </c>
      <c r="C1760" s="14" t="inlineStr">
        <is>
          <t>Veterinarias veterinarios</t>
        </is>
      </c>
      <c r="D1760" s="14" t="inlineStr">
        <is>
          <t>Veterinarias</t>
        </is>
      </c>
      <c r="E1760" s="19" t="n">
        <v>3</v>
      </c>
      <c r="F1760" s="19" t="n">
        <v>14765</v>
      </c>
      <c r="G1760" s="21" t="inlineStr">
        <is>
          <t>https://guiarsanrafael.com.ar/empresa/verterinaria-roca/</t>
        </is>
      </c>
    </row>
    <row r="1761">
      <c r="A1761" s="22" t="n">
        <v>1760</v>
      </c>
      <c r="B1761" s="23" t="inlineStr">
        <is>
          <t>VETERINARIA BLANCHE</t>
        </is>
      </c>
      <c r="C1761" s="12" t="inlineStr">
        <is>
          <t>Tienda para mascotas veterinaria</t>
        </is>
      </c>
      <c r="D1761" s="12" t="inlineStr">
        <is>
          <t>Veterinarias</t>
        </is>
      </c>
      <c r="E1761" s="22" t="n">
        <v>46</v>
      </c>
      <c r="F1761" s="22" t="n">
        <v>9646</v>
      </c>
      <c r="G1761" s="24" t="inlineStr">
        <is>
          <t>https://guiarsanrafael.com.ar/empresa/veterinaria-blanche/</t>
        </is>
      </c>
    </row>
    <row r="1762">
      <c r="A1762" s="19" t="n">
        <v>1761</v>
      </c>
      <c r="B1762" s="20" t="inlineStr">
        <is>
          <t>Veterinaria Dr. Biurrun</t>
        </is>
      </c>
      <c r="C1762" s="14" t="inlineStr">
        <is>
          <t>Tienda para mascotas veterinaria</t>
        </is>
      </c>
      <c r="D1762" s="14" t="inlineStr">
        <is>
          <t>Veterinarias</t>
        </is>
      </c>
      <c r="E1762" s="19" t="n">
        <v>45</v>
      </c>
      <c r="F1762" s="19" t="n">
        <v>9647</v>
      </c>
      <c r="G1762" s="21" t="inlineStr">
        <is>
          <t>https://guiarsanrafael.com.ar/empresa/veterinaria-dr-biurrun/</t>
        </is>
      </c>
    </row>
    <row r="1763">
      <c r="A1763" s="22" t="n">
        <v>1762</v>
      </c>
      <c r="B1763" s="23" t="inlineStr">
        <is>
          <t>Veterinaria El Tata Bevans</t>
        </is>
      </c>
      <c r="C1763" s="12" t="inlineStr">
        <is>
          <t>Tienda para mascotas veterinaria</t>
        </is>
      </c>
      <c r="D1763" s="12" t="inlineStr">
        <is>
          <t>Veterinarias</t>
        </is>
      </c>
      <c r="E1763" s="22" t="n">
        <v>45</v>
      </c>
      <c r="F1763" s="22" t="n">
        <v>9650</v>
      </c>
      <c r="G1763" s="24" t="inlineStr">
        <is>
          <t>https://guiarsanrafael.com.ar/empresa/veterinaria-el-tata-bevans/</t>
        </is>
      </c>
    </row>
    <row r="1764">
      <c r="A1764" s="19" t="n">
        <v>1763</v>
      </c>
      <c r="B1764" s="20" t="inlineStr">
        <is>
          <t>Veterinaria El Trébol</t>
        </is>
      </c>
      <c r="C1764" s="14" t="inlineStr">
        <is>
          <t>Tienda para mascotas veterinaria</t>
        </is>
      </c>
      <c r="D1764" s="14" t="inlineStr">
        <is>
          <t>Veterinarias</t>
        </is>
      </c>
      <c r="E1764" s="19" t="n">
        <v>44</v>
      </c>
      <c r="F1764" s="19" t="n">
        <v>9667</v>
      </c>
      <c r="G1764" s="21" t="inlineStr">
        <is>
          <t>https://guiarsanrafael.com.ar/empresa/veterinaria-el-trebol/</t>
        </is>
      </c>
    </row>
    <row r="1765">
      <c r="A1765" s="22" t="n">
        <v>1764</v>
      </c>
      <c r="B1765" s="23" t="inlineStr">
        <is>
          <t>Veterinaria Giménez</t>
        </is>
      </c>
      <c r="C1765" s="12" t="inlineStr">
        <is>
          <t>Tienda para mascotas veterinaria</t>
        </is>
      </c>
      <c r="D1765" s="12" t="inlineStr">
        <is>
          <t>Veterinarias</t>
        </is>
      </c>
      <c r="E1765" s="22" t="n">
        <v>45</v>
      </c>
      <c r="F1765" s="22" t="n">
        <v>9666</v>
      </c>
      <c r="G1765" s="24" t="inlineStr">
        <is>
          <t>https://guiarsanrafael.com.ar/empresa/veterinaria-gimenez/</t>
        </is>
      </c>
    </row>
    <row r="1766">
      <c r="A1766" s="19" t="n">
        <v>1765</v>
      </c>
      <c r="B1766" s="20" t="inlineStr">
        <is>
          <t>Veterinaria Las Vírgenes</t>
        </is>
      </c>
      <c r="C1766" s="14" t="inlineStr">
        <is>
          <t>Tienda para mascotas veterinaria</t>
        </is>
      </c>
      <c r="D1766" s="14" t="inlineStr">
        <is>
          <t>Veterinarias</t>
        </is>
      </c>
      <c r="E1766" s="19" t="n">
        <v>44</v>
      </c>
      <c r="F1766" s="19" t="n">
        <v>9656</v>
      </c>
      <c r="G1766" s="21" t="inlineStr">
        <is>
          <t>https://guiarsanrafael.com.ar/empresa/__trashed/</t>
        </is>
      </c>
    </row>
    <row r="1767">
      <c r="A1767" s="22" t="n">
        <v>1766</v>
      </c>
      <c r="B1767" s="23" t="inlineStr">
        <is>
          <t>Veterinaria Libertad</t>
        </is>
      </c>
      <c r="C1767" s="12" t="inlineStr">
        <is>
          <t>Tienda para mascotas veterinaria</t>
        </is>
      </c>
      <c r="D1767" s="12" t="inlineStr">
        <is>
          <t>Veterinarias</t>
        </is>
      </c>
      <c r="E1767" s="22" t="n">
        <v>45</v>
      </c>
      <c r="F1767" s="22" t="n">
        <v>9648</v>
      </c>
      <c r="G1767" s="24" t="inlineStr">
        <is>
          <t>https://guiarsanrafael.com.ar/empresa/veterinaria-libertad/</t>
        </is>
      </c>
    </row>
    <row r="1768">
      <c r="A1768" s="19" t="n">
        <v>1767</v>
      </c>
      <c r="B1768" s="20" t="inlineStr">
        <is>
          <t>Veterinaria Los Robles</t>
        </is>
      </c>
      <c r="C1768" s="14" t="inlineStr">
        <is>
          <t>Tienda para mascotas veterinaria</t>
        </is>
      </c>
      <c r="D1768" s="14" t="inlineStr">
        <is>
          <t>Veterinarias</t>
        </is>
      </c>
      <c r="E1768" s="19" t="n">
        <v>45</v>
      </c>
      <c r="F1768" s="19" t="n">
        <v>9665</v>
      </c>
      <c r="G1768" s="21" t="inlineStr">
        <is>
          <t>https://guiarsanrafael.com.ar/empresa/veterinaria-los-robles/</t>
        </is>
      </c>
    </row>
    <row r="1769">
      <c r="A1769" s="22" t="n">
        <v>1768</v>
      </c>
      <c r="B1769" s="23" t="inlineStr">
        <is>
          <t>VETERINARIA RIVADAVIA</t>
        </is>
      </c>
      <c r="C1769" s="12" t="inlineStr">
        <is>
          <t>Veterinarias veterinarios</t>
        </is>
      </c>
      <c r="D1769" s="12" t="inlineStr">
        <is>
          <t>Veterinarias</t>
        </is>
      </c>
      <c r="E1769" s="22" t="n">
        <v>3</v>
      </c>
      <c r="F1769" s="22" t="n">
        <v>14771</v>
      </c>
      <c r="G1769" s="24" t="inlineStr">
        <is>
          <t>https://guiarsanrafael.com.ar/empresa/14771/</t>
        </is>
      </c>
    </row>
    <row r="1770">
      <c r="A1770" s="19" t="n">
        <v>1769</v>
      </c>
      <c r="B1770" s="20" t="inlineStr">
        <is>
          <t>VETERINARIA SAN RAFAEL</t>
        </is>
      </c>
      <c r="C1770" s="14" t="inlineStr">
        <is>
          <t>Alimentos balanceados</t>
        </is>
      </c>
      <c r="D1770" s="14" t="inlineStr">
        <is>
          <t>Alimentos balanceados</t>
        </is>
      </c>
      <c r="E1770" s="19" t="n">
        <v>135</v>
      </c>
      <c r="F1770" s="19" t="n">
        <v>6028</v>
      </c>
      <c r="G1770" s="21" t="inlineStr">
        <is>
          <t>https://guiarsanrafael.com.ar/empresa/veterinaria-san-rafael/</t>
        </is>
      </c>
    </row>
    <row r="1771">
      <c r="A1771" s="22" t="n">
        <v>1770</v>
      </c>
      <c r="B1771" s="23" t="inlineStr">
        <is>
          <t>Veterinaria Valerdi</t>
        </is>
      </c>
      <c r="C1771" s="12" t="inlineStr">
        <is>
          <t>Tienda para mascotas veterinaria</t>
        </is>
      </c>
      <c r="D1771" s="12" t="inlineStr">
        <is>
          <t>Veterinarias</t>
        </is>
      </c>
      <c r="E1771" s="22" t="n">
        <v>45</v>
      </c>
      <c r="F1771" s="22" t="n">
        <v>9651</v>
      </c>
      <c r="G1771" s="24" t="inlineStr">
        <is>
          <t>https://guiarsanrafael.com.ar/empresa/veterinaria-valerdi/</t>
        </is>
      </c>
    </row>
    <row r="1772">
      <c r="A1772" s="19" t="n">
        <v>1771</v>
      </c>
      <c r="B1772" s="20" t="inlineStr">
        <is>
          <t>VICTOR GALERA</t>
        </is>
      </c>
      <c r="C1772" s="14" t="inlineStr">
        <is>
          <t>Seguros generales</t>
        </is>
      </c>
      <c r="D1772" s="14" t="inlineStr">
        <is>
          <t>Productor de seguros</t>
        </is>
      </c>
      <c r="E1772" s="19" t="n">
        <v>16</v>
      </c>
      <c r="F1772" s="19" t="n">
        <v>12668</v>
      </c>
      <c r="G1772" s="21" t="inlineStr">
        <is>
          <t>https://guiarsanrafael.com.ar/empresa/victor-galera/</t>
        </is>
      </c>
    </row>
    <row r="1773">
      <c r="A1773" s="22" t="n">
        <v>1772</v>
      </c>
      <c r="B1773" s="23" t="inlineStr">
        <is>
          <t>Victor Ortega</t>
        </is>
      </c>
      <c r="C1773" s="12" t="inlineStr">
        <is>
          <t>Odontologia</t>
        </is>
      </c>
      <c r="D1773" s="12" t="inlineStr">
        <is>
          <t>Odontologia</t>
        </is>
      </c>
      <c r="E1773" s="22" t="n">
        <v>100</v>
      </c>
      <c r="F1773" s="22" t="n">
        <v>7456</v>
      </c>
      <c r="G1773" s="24" t="inlineStr">
        <is>
          <t>https://guiarsanrafael.com.ar/empresa/victor-ortega/</t>
        </is>
      </c>
    </row>
    <row r="1774">
      <c r="A1774" s="19" t="n">
        <v>1773</v>
      </c>
      <c r="B1774" s="20" t="inlineStr">
        <is>
          <t>VICTORIA MARIA FLORENCIA</t>
        </is>
      </c>
      <c r="C1774" s="14" t="inlineStr">
        <is>
          <t>Pediatria neonatologia</t>
        </is>
      </c>
      <c r="D1774" s="14" t="inlineStr">
        <is>
          <t>Pediatria y neonatologia</t>
        </is>
      </c>
      <c r="E1774" s="19" t="n">
        <v>130</v>
      </c>
      <c r="F1774" s="19" t="n">
        <v>6379</v>
      </c>
      <c r="G1774" s="21" t="inlineStr">
        <is>
          <t>https://guiarsanrafael.com.ar/empresa/victoria-maria-florencia/</t>
        </is>
      </c>
    </row>
    <row r="1775">
      <c r="A1775" s="22" t="n">
        <v>1774</v>
      </c>
      <c r="B1775" s="23" t="inlineStr">
        <is>
          <t>Victoria Pelayes</t>
        </is>
      </c>
      <c r="C1775" s="12" t="inlineStr">
        <is>
          <t>Nutricion nutricionistas</t>
        </is>
      </c>
      <c r="D1775" s="12" t="inlineStr">
        <is>
          <t>Nutricionistas</t>
        </is>
      </c>
      <c r="E1775" s="22" t="n">
        <v>149</v>
      </c>
      <c r="F1775" s="22" t="n">
        <v>5432</v>
      </c>
      <c r="G1775" s="24" t="inlineStr">
        <is>
          <t>https://guiarsanrafael.com.ar/empresa/victoria-pelayes/</t>
        </is>
      </c>
    </row>
    <row r="1776">
      <c r="A1776" s="19" t="n">
        <v>1775</v>
      </c>
      <c r="B1776" s="20" t="inlineStr">
        <is>
          <t>Vida Sana</t>
        </is>
      </c>
      <c r="C1776" s="14" t="inlineStr">
        <is>
          <t>Almacen celiaco</t>
        </is>
      </c>
      <c r="D1776" s="14" t="inlineStr">
        <is>
          <t>Almacen celiaco</t>
        </is>
      </c>
      <c r="E1776" s="19" t="n">
        <v>55</v>
      </c>
      <c r="F1776" s="19" t="n">
        <v>9235</v>
      </c>
      <c r="G1776" s="21" t="inlineStr">
        <is>
          <t>https://guiarsanrafael.com.ar/empresa/vida-sana/</t>
        </is>
      </c>
    </row>
    <row r="1777">
      <c r="A1777" s="22" t="n">
        <v>1776</v>
      </c>
      <c r="B1777" s="23" t="inlineStr">
        <is>
          <t>VIDRIERIA  RIVADAVIA</t>
        </is>
      </c>
      <c r="C1777" s="12" t="inlineStr">
        <is>
          <t>Vidrierias vidrios cristales cristalerias</t>
        </is>
      </c>
      <c r="D1777" s="12" t="inlineStr">
        <is>
          <t>Cristalerias</t>
        </is>
      </c>
      <c r="E1777" s="22" t="n">
        <v>141</v>
      </c>
      <c r="F1777" s="22" t="n">
        <v>5572</v>
      </c>
      <c r="G1777" s="24" t="inlineStr">
        <is>
          <t>https://guiarsanrafael.com.ar/empresa/vidrieria-rivadavia/</t>
        </is>
      </c>
    </row>
    <row r="1778">
      <c r="A1778" s="19" t="n">
        <v>1777</v>
      </c>
      <c r="B1778" s="20" t="inlineStr">
        <is>
          <t>Vignoni Juan Pablo</t>
        </is>
      </c>
      <c r="C1778" s="14" t="inlineStr">
        <is>
          <t>Abogados abogadas estudios juridicos</t>
        </is>
      </c>
      <c r="D1778" s="14" t="inlineStr">
        <is>
          <t>Abogados</t>
        </is>
      </c>
      <c r="E1778" s="19" t="n">
        <v>112</v>
      </c>
      <c r="F1778" s="19" t="n">
        <v>7200</v>
      </c>
      <c r="G1778" s="21" t="inlineStr">
        <is>
          <t>https://guiarsanrafael.com.ar/empresa/vignoni-juan-pablo/</t>
        </is>
      </c>
    </row>
    <row r="1779">
      <c r="A1779" s="22" t="n">
        <v>1778</v>
      </c>
      <c r="B1779" s="23" t="inlineStr">
        <is>
          <t>Villarta Mariana del Valle</t>
        </is>
      </c>
      <c r="C1779" s="12" t="inlineStr">
        <is>
          <t>Abogados abogadas estudios juridicos</t>
        </is>
      </c>
      <c r="D1779" s="12" t="inlineStr">
        <is>
          <t>Abogadas</t>
        </is>
      </c>
      <c r="E1779" s="22" t="n">
        <v>109</v>
      </c>
      <c r="F1779" s="22" t="n">
        <v>7247</v>
      </c>
      <c r="G1779" s="24" t="inlineStr">
        <is>
          <t>https://guiarsanrafael.com.ar/empresa/villarta-mariana-del-valle/</t>
        </is>
      </c>
    </row>
    <row r="1780">
      <c r="A1780" s="19" t="n">
        <v>1779</v>
      </c>
      <c r="B1780" s="20" t="inlineStr">
        <is>
          <t>Vineria Balloffet</t>
        </is>
      </c>
      <c r="C1780" s="14" t="inlineStr">
        <is>
          <t>Tinenda de bebidas vinotecas licores</t>
        </is>
      </c>
      <c r="D1780" s="14" t="inlineStr">
        <is>
          <t>Tienda de bebidas</t>
        </is>
      </c>
      <c r="E1780" s="19" t="n">
        <v>51</v>
      </c>
      <c r="F1780" s="19" t="n">
        <v>9313</v>
      </c>
      <c r="G1780" s="21" t="inlineStr">
        <is>
          <t>https://guiarsanrafael.com.ar/empresa/vineria-balloffet/</t>
        </is>
      </c>
    </row>
    <row r="1781">
      <c r="A1781" s="22" t="n">
        <v>1780</v>
      </c>
      <c r="B1781" s="23" t="inlineStr">
        <is>
          <t>Virginia Magali Criado</t>
        </is>
      </c>
      <c r="C1781" s="12" t="inlineStr">
        <is>
          <t>Clinica del lenguaje</t>
        </is>
      </c>
      <c r="D1781" s="12" t="inlineStr">
        <is>
          <t>Clinica del lenguaje</t>
        </is>
      </c>
      <c r="E1781" s="22" t="n">
        <v>156</v>
      </c>
      <c r="F1781" s="22" t="n">
        <v>5320</v>
      </c>
      <c r="G1781" s="24" t="inlineStr">
        <is>
          <t>https://guiarsanrafael.com.ar/empresa/virginia-magali-criado-2/</t>
        </is>
      </c>
    </row>
    <row r="1782">
      <c r="A1782" s="19" t="n">
        <v>1781</v>
      </c>
      <c r="B1782" s="20" t="inlineStr">
        <is>
          <t>Virginia Magali Criado</t>
        </is>
      </c>
      <c r="C1782" s="14" t="inlineStr">
        <is>
          <t>Clinica del lenguaje</t>
        </is>
      </c>
      <c r="D1782" s="14" t="inlineStr">
        <is>
          <t>Clinica del lenguaje</t>
        </is>
      </c>
      <c r="E1782" s="19" t="n">
        <v>157</v>
      </c>
      <c r="F1782" s="19" t="n">
        <v>5310</v>
      </c>
      <c r="G1782" s="21" t="inlineStr">
        <is>
          <t>https://guiarsanrafael.com.ar/empresa/virginia-magali-criado/</t>
        </is>
      </c>
    </row>
    <row r="1783">
      <c r="A1783" s="22" t="n">
        <v>1782</v>
      </c>
      <c r="B1783" s="23" t="inlineStr">
        <is>
          <t>VISION SUR Óptica</t>
        </is>
      </c>
      <c r="C1783" s="12" t="inlineStr">
        <is>
          <t>Contactologia</t>
        </is>
      </c>
      <c r="D1783" s="12" t="inlineStr">
        <is>
          <t>Contactologia</t>
        </is>
      </c>
      <c r="E1783" s="22" t="n">
        <v>46</v>
      </c>
      <c r="F1783" s="22" t="n">
        <v>9624</v>
      </c>
      <c r="G1783" s="24" t="inlineStr">
        <is>
          <t>https://guiarsanrafael.com.ar/empresa/vision-sur-optica/</t>
        </is>
      </c>
    </row>
    <row r="1784">
      <c r="A1784" s="19" t="n">
        <v>1783</v>
      </c>
      <c r="B1784" s="20" t="inlineStr">
        <is>
          <t>VITALIS Salud Integral</t>
        </is>
      </c>
      <c r="C1784" s="14" t="inlineStr">
        <is>
          <t>Consultorios medicos</t>
        </is>
      </c>
      <c r="D1784" s="14" t="inlineStr">
        <is>
          <t>Consultorios medicos</t>
        </is>
      </c>
      <c r="E1784" s="19" t="n">
        <v>180</v>
      </c>
      <c r="F1784" s="19" t="n">
        <v>3464</v>
      </c>
      <c r="G1784" s="21" t="inlineStr">
        <is>
          <t>https://guiarsanrafael.com.ar/empresa/vitalis-salud-integral/</t>
        </is>
      </c>
    </row>
    <row r="1785">
      <c r="A1785" s="22" t="n">
        <v>1784</v>
      </c>
      <c r="B1785" s="23" t="inlineStr">
        <is>
          <t>VIVIAN PETCOFF Óptica y Contactología</t>
        </is>
      </c>
      <c r="C1785" s="12" t="inlineStr">
        <is>
          <t>Contactologia</t>
        </is>
      </c>
      <c r="D1785" s="12" t="inlineStr">
        <is>
          <t>Contactologia</t>
        </is>
      </c>
      <c r="E1785" s="22" t="n">
        <v>170</v>
      </c>
      <c r="F1785" s="22" t="n">
        <v>4481</v>
      </c>
      <c r="G1785" s="24" t="inlineStr">
        <is>
          <t>https://guiarsanrafael.com.ar/empresa/vivian-petcoff-optica-y-contactologia/</t>
        </is>
      </c>
    </row>
    <row r="1786">
      <c r="A1786" s="19" t="n">
        <v>1785</v>
      </c>
      <c r="B1786" s="20" t="inlineStr">
        <is>
          <t>VIVIANA CARRICONDO Estilista</t>
        </is>
      </c>
      <c r="C1786" s="14" t="inlineStr">
        <is>
          <t>Estilistas peluqueria barberias</t>
        </is>
      </c>
      <c r="D1786" s="14" t="inlineStr">
        <is>
          <t>Estilistas</t>
        </is>
      </c>
      <c r="E1786" s="19" t="n">
        <v>168</v>
      </c>
      <c r="F1786" s="19" t="n">
        <v>4732</v>
      </c>
      <c r="G1786" s="21" t="inlineStr">
        <is>
          <t>https://guiarsanrafael.com.ar/empresa/viviana-carricondo-estilista/</t>
        </is>
      </c>
    </row>
    <row r="1787">
      <c r="A1787" s="22" t="n">
        <v>1786</v>
      </c>
      <c r="B1787" s="23" t="inlineStr">
        <is>
          <t>Viviana Sorasio</t>
        </is>
      </c>
      <c r="C1787" s="12" t="inlineStr">
        <is>
          <t>Clinica medica</t>
        </is>
      </c>
      <c r="D1787" s="12" t="inlineStr">
        <is>
          <t>Clinica medica</t>
        </is>
      </c>
      <c r="E1787" s="22" t="n">
        <v>159</v>
      </c>
      <c r="F1787" s="22" t="n">
        <v>5291</v>
      </c>
      <c r="G1787" s="24" t="inlineStr">
        <is>
          <t>https://guiarsanrafael.com.ar/empresa/viviana-sorasio/</t>
        </is>
      </c>
    </row>
    <row r="1788">
      <c r="A1788" s="19" t="n">
        <v>1787</v>
      </c>
      <c r="B1788" s="20" t="inlineStr">
        <is>
          <t>Vizcaya Valeria</t>
        </is>
      </c>
      <c r="C1788" s="14" t="inlineStr">
        <is>
          <t>Abogados abogadas estudios juridicos</t>
        </is>
      </c>
      <c r="D1788" s="14" t="inlineStr">
        <is>
          <t>Abogadas</t>
        </is>
      </c>
      <c r="E1788" s="19" t="n">
        <v>113</v>
      </c>
      <c r="F1788" s="19" t="n">
        <v>7185</v>
      </c>
      <c r="G1788" s="21" t="inlineStr">
        <is>
          <t>https://guiarsanrafael.com.ar/empresa/vizcaya-valeria/</t>
        </is>
      </c>
    </row>
    <row r="1789">
      <c r="A1789" s="22" t="n">
        <v>1788</v>
      </c>
      <c r="B1789" s="23" t="inlineStr">
        <is>
          <t>Volante Lubricentro</t>
        </is>
      </c>
      <c r="C1789" s="12" t="inlineStr">
        <is>
          <t>Lubricantes aceites lubricentro</t>
        </is>
      </c>
      <c r="D1789" s="12" t="inlineStr">
        <is>
          <t>Lubricantes</t>
        </is>
      </c>
      <c r="E1789" s="22" t="n">
        <v>50</v>
      </c>
      <c r="F1789" s="22" t="n">
        <v>9364</v>
      </c>
      <c r="G1789" s="24" t="inlineStr">
        <is>
          <t>https://guiarsanrafael.com.ar/empresa/volante-lubricentro/</t>
        </is>
      </c>
    </row>
    <row r="1790">
      <c r="A1790" s="19" t="n">
        <v>1789</v>
      </c>
      <c r="B1790" s="20" t="inlineStr">
        <is>
          <t>VOTTERO DE MARIANI Viviana</t>
        </is>
      </c>
      <c r="C1790" s="14" t="inlineStr">
        <is>
          <t>Escribanias escribanos escribanas mandatario mandataria notarios notarias</t>
        </is>
      </c>
      <c r="D1790" s="14" t="inlineStr">
        <is>
          <t>Escribanas</t>
        </is>
      </c>
      <c r="E1790" s="19" t="n">
        <v>78</v>
      </c>
      <c r="F1790" s="19" t="n">
        <v>8254</v>
      </c>
      <c r="G1790" s="21" t="inlineStr">
        <is>
          <t>https://guiarsanrafael.com.ar/empresa/vottero-de-mariani-viviana/</t>
        </is>
      </c>
    </row>
    <row r="1791">
      <c r="A1791" s="22" t="n">
        <v>1790</v>
      </c>
      <c r="B1791" s="23" t="inlineStr">
        <is>
          <t>Walter Croce</t>
        </is>
      </c>
      <c r="C1791" s="12" t="inlineStr">
        <is>
          <t>Clinica medica</t>
        </is>
      </c>
      <c r="D1791" s="12" t="inlineStr">
        <is>
          <t>Clinica medica</t>
        </is>
      </c>
      <c r="E1791" s="22" t="n">
        <v>160</v>
      </c>
      <c r="F1791" s="22" t="n">
        <v>5281</v>
      </c>
      <c r="G1791" s="24" t="inlineStr">
        <is>
          <t>https://guiarsanrafael.com.ar/empresa/walter-croce/</t>
        </is>
      </c>
    </row>
    <row r="1792">
      <c r="A1792" s="19" t="n">
        <v>1791</v>
      </c>
      <c r="B1792" s="20" t="inlineStr">
        <is>
          <t>Wanda K. González</t>
        </is>
      </c>
      <c r="C1792" s="14" t="inlineStr">
        <is>
          <t>Nutricion nutricionistas</t>
        </is>
      </c>
      <c r="D1792" s="14" t="inlineStr">
        <is>
          <t>Nutricionistas</t>
        </is>
      </c>
      <c r="E1792" s="19" t="n">
        <v>149</v>
      </c>
      <c r="F1792" s="19" t="n">
        <v>5427</v>
      </c>
      <c r="G1792" s="21" t="inlineStr">
        <is>
          <t>https://guiarsanrafael.com.ar/empresa/wanda-k-gonzalez/</t>
        </is>
      </c>
    </row>
    <row r="1793">
      <c r="A1793" s="22" t="n">
        <v>1792</v>
      </c>
      <c r="B1793" s="23" t="inlineStr">
        <is>
          <t>Warnes 2001 Multirepuestos</t>
        </is>
      </c>
      <c r="C1793" s="12" t="inlineStr">
        <is>
          <t>Autopartes</t>
        </is>
      </c>
      <c r="D1793" s="12" t="inlineStr">
        <is>
          <t>Autopartes</t>
        </is>
      </c>
      <c r="E1793" s="22" t="n">
        <v>73</v>
      </c>
      <c r="F1793" s="22" t="n">
        <v>8434</v>
      </c>
      <c r="G1793" s="24" t="inlineStr">
        <is>
          <t>https://guiarsanrafael.com.ar/empresa/warnes-2001-multirepuestos/</t>
        </is>
      </c>
    </row>
    <row r="1794">
      <c r="A1794" s="19" t="n">
        <v>1793</v>
      </c>
      <c r="B1794" s="20" t="inlineStr">
        <is>
          <t>WICHY DESCARTABLES</t>
        </is>
      </c>
      <c r="C1794" s="14" t="inlineStr">
        <is>
          <t>Cotillon</t>
        </is>
      </c>
      <c r="D1794" s="14" t="inlineStr">
        <is>
          <t>Cotillon</t>
        </is>
      </c>
      <c r="E1794" s="19" t="n">
        <v>33</v>
      </c>
      <c r="F1794" s="19" t="n">
        <v>10700</v>
      </c>
      <c r="G1794" s="21" t="inlineStr">
        <is>
          <t>https://guiarsanrafael.com.ar/empresa/wichy-descartables/</t>
        </is>
      </c>
    </row>
    <row r="1795">
      <c r="A1795" s="22" t="n">
        <v>1794</v>
      </c>
      <c r="B1795" s="23" t="inlineStr">
        <is>
          <t>WINE SERVICE San Rafael</t>
        </is>
      </c>
      <c r="C1795" s="12" t="inlineStr">
        <is>
          <t>Almacen de vinos</t>
        </is>
      </c>
      <c r="D1795" s="12" t="inlineStr">
        <is>
          <t>Almacen de vinos</t>
        </is>
      </c>
      <c r="E1795" s="22" t="n">
        <v>29</v>
      </c>
      <c r="F1795" s="22" t="n">
        <v>11177</v>
      </c>
      <c r="G1795" s="24" t="inlineStr">
        <is>
          <t>https://guiarsanrafael.com.ar/empresa/wine-service-san-rafael/</t>
        </is>
      </c>
    </row>
    <row r="1796">
      <c r="A1796" s="19" t="n">
        <v>1795</v>
      </c>
      <c r="B1796" s="20" t="inlineStr">
        <is>
          <t>WINTER HOUSE</t>
        </is>
      </c>
      <c r="C1796" s="14" t="inlineStr">
        <is>
          <t>Alquiler equipamiento indumentaria para nieve</t>
        </is>
      </c>
      <c r="D1796" s="14" t="inlineStr">
        <is>
          <t>Equipamientos para nieve</t>
        </is>
      </c>
      <c r="E1796" s="19" t="n">
        <v>23</v>
      </c>
      <c r="F1796" s="19" t="n">
        <v>11917</v>
      </c>
      <c r="G1796" s="21" t="inlineStr">
        <is>
          <t>https://guiarsanrafael.com.ar/empresa/winter-house/</t>
        </is>
      </c>
    </row>
    <row r="1797">
      <c r="A1797" s="22" t="n">
        <v>1796</v>
      </c>
      <c r="B1797" s="23" t="inlineStr">
        <is>
          <t>XTREME GARAGE</t>
        </is>
      </c>
      <c r="C1797" s="12" t="inlineStr">
        <is>
          <t>Car audio</t>
        </is>
      </c>
      <c r="D1797" s="12" t="inlineStr">
        <is>
          <t>Car audio</t>
        </is>
      </c>
      <c r="E1797" s="22" t="n">
        <v>25</v>
      </c>
      <c r="F1797" s="22" t="n">
        <v>11698</v>
      </c>
      <c r="G1797" s="24" t="inlineStr">
        <is>
          <t>https://guiarsanrafael.com.ar/empresa/xtreme-garage/</t>
        </is>
      </c>
    </row>
    <row r="1798">
      <c r="A1798" s="19" t="n">
        <v>1797</v>
      </c>
      <c r="B1798" s="20" t="inlineStr">
        <is>
          <t>Yacante Angel Leandro</t>
        </is>
      </c>
      <c r="C1798" s="14" t="inlineStr">
        <is>
          <t>Abogados abogadas estudios juridicos</t>
        </is>
      </c>
      <c r="D1798" s="14" t="inlineStr">
        <is>
          <t>Abogados</t>
        </is>
      </c>
      <c r="E1798" s="19" t="n">
        <v>106</v>
      </c>
      <c r="F1798" s="19" t="n">
        <v>7244</v>
      </c>
      <c r="G1798" s="21" t="inlineStr">
        <is>
          <t>https://guiarsanrafael.com.ar/empresa/yacante-angel-leandro/</t>
        </is>
      </c>
    </row>
    <row r="1799">
      <c r="A1799" s="22" t="n">
        <v>1798</v>
      </c>
      <c r="B1799" s="23" t="inlineStr">
        <is>
          <t>YAIR YASUFF</t>
        </is>
      </c>
      <c r="C1799" s="12" t="inlineStr">
        <is>
          <t>Clinica medica</t>
        </is>
      </c>
      <c r="D1799" s="12" t="inlineStr">
        <is>
          <t>Clinica medica</t>
        </is>
      </c>
      <c r="E1799" s="22" t="n">
        <v>150</v>
      </c>
      <c r="F1799" s="22" t="n">
        <v>5413</v>
      </c>
      <c r="G1799" s="24" t="inlineStr">
        <is>
          <t>https://guiarsanrafael.com.ar/empresa/yair-yasuff/</t>
        </is>
      </c>
    </row>
    <row r="1800">
      <c r="A1800" s="19" t="n">
        <v>1799</v>
      </c>
      <c r="B1800" s="20" t="inlineStr">
        <is>
          <t>Yamila Carbonetti</t>
        </is>
      </c>
      <c r="C1800" s="14" t="inlineStr">
        <is>
          <t>Kinesiologia y fisioterapia</t>
        </is>
      </c>
      <c r="D1800" s="14" t="inlineStr">
        <is>
          <t>Kinesiologia y fisioterapia</t>
        </is>
      </c>
      <c r="E1800" s="19" t="n">
        <v>153</v>
      </c>
      <c r="F1800" s="19" t="n">
        <v>5380</v>
      </c>
      <c r="G1800" s="21" t="inlineStr">
        <is>
          <t>https://guiarsanrafael.com.ar/empresa/yamila-carbonetti/</t>
        </is>
      </c>
    </row>
    <row r="1801">
      <c r="A1801" s="22" t="n">
        <v>1800</v>
      </c>
      <c r="B1801" s="23" t="inlineStr">
        <is>
          <t>YANDI TOUR Agencia de Viajes</t>
        </is>
      </c>
      <c r="C1801" s="12" t="inlineStr">
        <is>
          <t>Agencia de viajes</t>
        </is>
      </c>
      <c r="D1801" s="12" t="inlineStr">
        <is>
          <t>Agencias de viajes</t>
        </is>
      </c>
      <c r="E1801" s="22" t="n">
        <v>26</v>
      </c>
      <c r="F1801" s="22" t="n">
        <v>11606</v>
      </c>
      <c r="G1801" s="24" t="inlineStr">
        <is>
          <t>https://guiarsanrafael.com.ar/empresa/yandi-tour-agencia-de-viajes/</t>
        </is>
      </c>
    </row>
    <row r="1802">
      <c r="A1802" s="19" t="n">
        <v>1801</v>
      </c>
      <c r="B1802" s="20" t="inlineStr">
        <is>
          <t>Yapur Gómez Naim Kalid</t>
        </is>
      </c>
      <c r="C1802" s="14" t="inlineStr">
        <is>
          <t>Abogados abogadas estudios juridicos</t>
        </is>
      </c>
      <c r="D1802" s="14" t="inlineStr">
        <is>
          <t>Abogados</t>
        </is>
      </c>
      <c r="E1802" s="19" t="n">
        <v>109</v>
      </c>
      <c r="F1802" s="19" t="n">
        <v>7243</v>
      </c>
      <c r="G1802" s="21" t="inlineStr">
        <is>
          <t>https://guiarsanrafael.com.ar/empresa/yapur-gomez-naim-kalid/</t>
        </is>
      </c>
    </row>
    <row r="1803">
      <c r="A1803" s="22" t="n">
        <v>1802</v>
      </c>
      <c r="B1803" s="23" t="inlineStr">
        <is>
          <t>Yasuff Nadir Rafael</t>
        </is>
      </c>
      <c r="C1803" s="12" t="inlineStr">
        <is>
          <t>Abogados abogadas estudios juridicos</t>
        </is>
      </c>
      <c r="D1803" s="12" t="inlineStr">
        <is>
          <t>Abogados</t>
        </is>
      </c>
      <c r="E1803" s="22" t="n">
        <v>114</v>
      </c>
      <c r="F1803" s="22" t="n">
        <v>7176</v>
      </c>
      <c r="G1803" s="24" t="inlineStr">
        <is>
          <t>https://guiarsanrafael.com.ar/empresa/yasuff-nadir-rafael/</t>
        </is>
      </c>
    </row>
    <row r="1804">
      <c r="A1804" s="19" t="n">
        <v>1803</v>
      </c>
      <c r="B1804" s="20" t="inlineStr">
        <is>
          <t>YEMINA JULIAN</t>
        </is>
      </c>
      <c r="C1804" s="14" t="inlineStr">
        <is>
          <t>Escribanias escribanos escribanas mandatario mandataria notarios notarias</t>
        </is>
      </c>
      <c r="D1804" s="14" t="inlineStr">
        <is>
          <t>Escribanias</t>
        </is>
      </c>
      <c r="E1804" s="19" t="n">
        <v>173</v>
      </c>
      <c r="F1804" s="19" t="n">
        <v>4217</v>
      </c>
      <c r="G1804" s="21" t="inlineStr">
        <is>
          <t>https://guiarsanrafael.com.ar/empresa/yemina-julian/</t>
        </is>
      </c>
    </row>
    <row r="1805">
      <c r="A1805" s="22" t="n">
        <v>1804</v>
      </c>
      <c r="B1805" s="23" t="inlineStr">
        <is>
          <t>YESO PLACK</t>
        </is>
      </c>
      <c r="C1805" s="12" t="inlineStr">
        <is>
          <t>Aislantes impemeabilizantes</t>
        </is>
      </c>
      <c r="D1805" s="12" t="inlineStr">
        <is>
          <t>Aislantes 2</t>
        </is>
      </c>
      <c r="E1805" s="22" t="n">
        <v>57</v>
      </c>
      <c r="F1805" s="22" t="n">
        <v>9031</v>
      </c>
      <c r="G1805" s="24" t="inlineStr">
        <is>
          <t>https://guiarsanrafael.com.ar/empresa/yeso-plack-2/</t>
        </is>
      </c>
    </row>
    <row r="1806">
      <c r="A1806" s="19" t="n">
        <v>1805</v>
      </c>
      <c r="B1806" s="20" t="inlineStr">
        <is>
          <t>YESO PLACK</t>
        </is>
      </c>
      <c r="C1806" s="14" t="inlineStr">
        <is>
          <t>Aislantes impemeabilizantes</t>
        </is>
      </c>
      <c r="D1806" s="14" t="inlineStr">
        <is>
          <t>Aislantes 2</t>
        </is>
      </c>
      <c r="E1806" s="19" t="n">
        <v>170</v>
      </c>
      <c r="F1806" s="19" t="n">
        <v>4435</v>
      </c>
      <c r="G1806" s="21" t="inlineStr">
        <is>
          <t>https://guiarsanrafael.com.ar/empresa/yeso-plack/</t>
        </is>
      </c>
    </row>
    <row r="1807">
      <c r="A1807" s="22" t="n">
        <v>1806</v>
      </c>
      <c r="B1807" s="23" t="inlineStr">
        <is>
          <t>YOLI QUINTERO ORDINOLA</t>
        </is>
      </c>
      <c r="C1807" s="12" t="inlineStr">
        <is>
          <t>Diagnostico por imagenes ecografia mamografias</t>
        </is>
      </c>
      <c r="D1807" s="12" t="inlineStr">
        <is>
          <t>Diagnostico por imagenes</t>
        </is>
      </c>
      <c r="E1807" s="22" t="n">
        <v>15</v>
      </c>
      <c r="F1807" s="22" t="n">
        <v>12820</v>
      </c>
      <c r="G1807" s="24" t="inlineStr">
        <is>
          <t>https://guiarsanrafael.com.ar/empresa/yoli-quinteros-ordinol/</t>
        </is>
      </c>
    </row>
    <row r="1808">
      <c r="A1808" s="19" t="n">
        <v>1807</v>
      </c>
      <c r="B1808" s="20" t="inlineStr">
        <is>
          <t>YUMA FELIX</t>
        </is>
      </c>
      <c r="C1808" s="14" t="inlineStr">
        <is>
          <t>Traumatologia y ortopedia</t>
        </is>
      </c>
      <c r="D1808" s="14" t="inlineStr">
        <is>
          <t>Traumatologia</t>
        </is>
      </c>
      <c r="E1808" s="19" t="n">
        <v>5</v>
      </c>
      <c r="F1808" s="19" t="n">
        <v>14574</v>
      </c>
      <c r="G1808" s="21" t="inlineStr">
        <is>
          <t>https://guiarsanrafael.com.ar/empresa/yuma-felix/</t>
        </is>
      </c>
    </row>
    <row r="1809">
      <c r="A1809" s="22" t="n">
        <v>1808</v>
      </c>
      <c r="B1809" s="23" t="inlineStr">
        <is>
          <t>ZAIDA MATAR Propiedades</t>
        </is>
      </c>
      <c r="C1809" s="12" t="inlineStr">
        <is>
          <t>Corredor publico inmobiliario</t>
        </is>
      </c>
      <c r="D1809" s="12" t="inlineStr">
        <is>
          <t>Bienes raises</t>
        </is>
      </c>
      <c r="E1809" s="22" t="n">
        <v>165</v>
      </c>
      <c r="F1809" s="22" t="n">
        <v>4997</v>
      </c>
      <c r="G1809" s="24" t="inlineStr">
        <is>
          <t>https://guiarsanrafael.com.ar/empresa/zaida-matar-propiedades/</t>
        </is>
      </c>
    </row>
    <row r="1810">
      <c r="A1810" s="19" t="n">
        <v>1809</v>
      </c>
      <c r="B1810" s="20" t="inlineStr">
        <is>
          <t>Zavattieri	María Florencia</t>
        </is>
      </c>
      <c r="C1810" s="14" t="inlineStr">
        <is>
          <t>Abogados abogadas estudios juridicos</t>
        </is>
      </c>
      <c r="D1810" s="14" t="inlineStr">
        <is>
          <t>Abogadas</t>
        </is>
      </c>
      <c r="E1810" s="19" t="n">
        <v>113</v>
      </c>
      <c r="F1810" s="19" t="n">
        <v>7182</v>
      </c>
      <c r="G1810" s="21" t="inlineStr">
        <is>
          <t>https://guiarsanrafael.com.ar/empresa/zavattierimaria-florencia/</t>
        </is>
      </c>
    </row>
    <row r="1811">
      <c r="A1811" s="22" t="n">
        <v>1810</v>
      </c>
      <c r="B1811" s="23" t="inlineStr">
        <is>
          <t>ZAÁZIL Vivero &amp; Jardinería</t>
        </is>
      </c>
      <c r="C1811" s="12" t="inlineStr">
        <is>
          <t>Jardineria</t>
        </is>
      </c>
      <c r="D1811" s="12" t="inlineStr">
        <is>
          <t>Jardineria</t>
        </is>
      </c>
      <c r="E1811" s="22" t="n">
        <v>120</v>
      </c>
      <c r="F1811" s="22" t="n">
        <v>7096</v>
      </c>
      <c r="G1811" s="24" t="inlineStr">
        <is>
          <t>https://guiarsanrafael.com.ar/empresa/zaazil-vivero-jardineria/</t>
        </is>
      </c>
    </row>
    <row r="1812">
      <c r="A1812" s="19" t="n">
        <v>1811</v>
      </c>
      <c r="B1812" s="20" t="inlineStr">
        <is>
          <t>ZHAMPÍ Indumentaria</t>
        </is>
      </c>
      <c r="C1812" s="14" t="inlineStr">
        <is>
          <t>Bordados</t>
        </is>
      </c>
      <c r="D1812" s="14" t="inlineStr">
        <is>
          <t>Bordados</t>
        </is>
      </c>
      <c r="E1812" s="19" t="n">
        <v>31</v>
      </c>
      <c r="F1812" s="19" t="n">
        <v>10956</v>
      </c>
      <c r="G1812" s="21" t="inlineStr">
        <is>
          <t>https://guiarsanrafael.com.ar/empresa/zhampi-indumentaria/</t>
        </is>
      </c>
    </row>
    <row r="1813">
      <c r="A1813" s="22" t="n">
        <v>1812</v>
      </c>
      <c r="B1813" s="23" t="inlineStr">
        <is>
          <t>ZINC PLEGADOS</t>
        </is>
      </c>
      <c r="C1813" s="12" t="inlineStr">
        <is>
          <t>Corte y plegado de chapas</t>
        </is>
      </c>
      <c r="D1813" s="12" t="inlineStr">
        <is>
          <t>Corte y plegado de chapas</t>
        </is>
      </c>
      <c r="E1813" s="22" t="n">
        <v>27</v>
      </c>
      <c r="F1813" s="22" t="n">
        <v>11435</v>
      </c>
      <c r="G1813" s="24" t="inlineStr">
        <is>
          <t>https://guiarsanrafael.com.ar/empresa/zinc-plegados/</t>
        </is>
      </c>
    </row>
    <row r="1814">
      <c r="A1814" s="19" t="n">
        <v>1813</v>
      </c>
      <c r="B1814" s="20" t="inlineStr">
        <is>
          <t>Zingarella Regionales</t>
        </is>
      </c>
      <c r="C1814" s="14" t="inlineStr">
        <is>
          <t>Regionales regaleria</t>
        </is>
      </c>
      <c r="D1814" s="14" t="inlineStr">
        <is>
          <t>Regionales</t>
        </is>
      </c>
      <c r="E1814" s="19" t="n">
        <v>53</v>
      </c>
      <c r="F1814" s="19" t="n">
        <v>9267</v>
      </c>
      <c r="G1814" s="21" t="inlineStr">
        <is>
          <t>https://guiarsanrafael.com.ar/empresa/zingarella-regionales/</t>
        </is>
      </c>
    </row>
    <row r="1815">
      <c r="A1815" s="22" t="n">
        <v>1814</v>
      </c>
      <c r="B1815" s="23" t="inlineStr">
        <is>
          <t>ZINGUERIA El Gringo</t>
        </is>
      </c>
      <c r="C1815" s="12" t="inlineStr">
        <is>
          <t>Corte y plegado de chapas</t>
        </is>
      </c>
      <c r="D1815" s="12" t="inlineStr">
        <is>
          <t>Zingueria</t>
        </is>
      </c>
      <c r="E1815" s="22" t="n">
        <v>172</v>
      </c>
      <c r="F1815" s="22" t="n">
        <v>4290</v>
      </c>
      <c r="G1815" s="24" t="inlineStr">
        <is>
          <t>https://guiarsanrafael.com.ar/empresa/zingueria-el-gringo/</t>
        </is>
      </c>
    </row>
    <row r="1816">
      <c r="A1816" s="19" t="n">
        <v>1815</v>
      </c>
      <c r="B1816" s="20" t="inlineStr">
        <is>
          <t>ZONA CHIKY Juguetería</t>
        </is>
      </c>
      <c r="C1816" s="14" t="inlineStr">
        <is>
          <t>Distribuidoras</t>
        </is>
      </c>
      <c r="D1816" s="14" t="inlineStr">
        <is>
          <t>Distribuidoras</t>
        </is>
      </c>
      <c r="E1816" s="19" t="n">
        <v>19</v>
      </c>
      <c r="F1816" s="19" t="n">
        <v>12316</v>
      </c>
      <c r="G1816" s="21" t="inlineStr">
        <is>
          <t>https://guiarsanrafael.com.ar/empresa/zona-chiky-jugueteria/</t>
        </is>
      </c>
    </row>
    <row r="1817">
      <c r="A1817" s="22" t="n">
        <v>1816</v>
      </c>
      <c r="B1817" s="23" t="inlineStr">
        <is>
          <t>ZONAZUL Gomería &amp; Lavadero</t>
        </is>
      </c>
      <c r="C1817" s="12" t="inlineStr">
        <is>
          <t>Gomerias neumaticos gomas cubiertas</t>
        </is>
      </c>
      <c r="D1817" s="12" t="inlineStr">
        <is>
          <t>Gomeria</t>
        </is>
      </c>
      <c r="E1817" s="22" t="n">
        <v>32</v>
      </c>
      <c r="F1817" s="22" t="n">
        <v>10747</v>
      </c>
      <c r="G1817" s="24" t="inlineStr">
        <is>
          <t>https://guiarsanrafael.com.ar/empresa/zonazul-gomeria-lavadero/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817"/>
  </tableParts>
</worksheet>
</file>

<file path=xl/worksheets/sheet3.xml><?xml version="1.0" encoding="utf-8"?>
<worksheet xmlns="http://schemas.openxmlformats.org/spreadsheetml/2006/main">
  <sheetPr>
    <tabColor rgb="005EEAD4"/>
    <outlinePr summaryBelow="1" summaryRight="1"/>
    <pageSetUpPr/>
  </sheetPr>
  <dimension ref="A1:D2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14" customWidth="1" min="3" max="3"/>
    <col width="14" customWidth="1" min="4" max="4"/>
  </cols>
  <sheetData>
    <row r="1" ht="24" customHeight="1">
      <c r="A1" s="18" t="inlineStr">
        <is>
          <t>#</t>
        </is>
      </c>
      <c r="B1" s="18" t="inlineStr">
        <is>
          <t>Categoría</t>
        </is>
      </c>
      <c r="C1" s="18" t="inlineStr">
        <is>
          <t>Cantidad</t>
        </is>
      </c>
      <c r="D1" s="18" t="inlineStr">
        <is>
          <t>% del total</t>
        </is>
      </c>
    </row>
    <row r="2">
      <c r="A2" s="19" t="n">
        <v>1</v>
      </c>
      <c r="B2" s="20" t="inlineStr">
        <is>
          <t>Abogados abogadas estudios juridicos</t>
        </is>
      </c>
      <c r="C2" s="15">
        <f>COUNTIF(tblComercios[Categoría],B2)</f>
        <v/>
      </c>
      <c r="D2" s="25">
        <f>IF(SUM($C$2:$C$285)=0,"",C2/SUM($C$2:$C$285))</f>
        <v/>
      </c>
    </row>
    <row r="3">
      <c r="A3" s="22" t="n">
        <v>2</v>
      </c>
      <c r="B3" s="23" t="inlineStr">
        <is>
          <t>Escribanias escribanos escribanas mandatario mandataria notarios notarias</t>
        </is>
      </c>
      <c r="C3" s="13">
        <f>COUNTIF(tblComercios[Categoría],B3)</f>
        <v/>
      </c>
      <c r="D3" s="26">
        <f>IF(SUM($C$2:$C$285)=0,"",C3/SUM($C$2:$C$285))</f>
        <v/>
      </c>
    </row>
    <row r="4">
      <c r="A4" s="19" t="n">
        <v>3</v>
      </c>
      <c r="B4" s="20" t="inlineStr">
        <is>
          <t>Odontologia</t>
        </is>
      </c>
      <c r="C4" s="15">
        <f>COUNTIF(tblComercios[Categoría],B4)</f>
        <v/>
      </c>
      <c r="D4" s="25">
        <f>IF(SUM($C$2:$C$285)=0,"",C4/SUM($C$2:$C$285))</f>
        <v/>
      </c>
    </row>
    <row r="5">
      <c r="A5" s="22" t="n">
        <v>4</v>
      </c>
      <c r="B5" s="23" t="inlineStr">
        <is>
          <t>Farmacias</t>
        </is>
      </c>
      <c r="C5" s="13">
        <f>COUNTIF(tblComercios[Categoría],B5)</f>
        <v/>
      </c>
      <c r="D5" s="26">
        <f>IF(SUM($C$2:$C$285)=0,"",C5/SUM($C$2:$C$285))</f>
        <v/>
      </c>
    </row>
    <row r="6">
      <c r="A6" s="19" t="n">
        <v>5</v>
      </c>
      <c r="B6" s="20" t="inlineStr">
        <is>
          <t>Kinesiologia y fisioterapia</t>
        </is>
      </c>
      <c r="C6" s="15">
        <f>COUNTIF(tblComercios[Categoría],B6)</f>
        <v/>
      </c>
      <c r="D6" s="25">
        <f>IF(SUM($C$2:$C$285)=0,"",C6/SUM($C$2:$C$285))</f>
        <v/>
      </c>
    </row>
    <row r="7">
      <c r="A7" s="22" t="n">
        <v>6</v>
      </c>
      <c r="B7" s="23" t="inlineStr">
        <is>
          <t>Casa de comidas rotiseria viandas</t>
        </is>
      </c>
      <c r="C7" s="13">
        <f>COUNTIF(tblComercios[Categoría],B7)</f>
        <v/>
      </c>
      <c r="D7" s="26">
        <f>IF(SUM($C$2:$C$285)=0,"",C7/SUM($C$2:$C$285))</f>
        <v/>
      </c>
    </row>
    <row r="8">
      <c r="A8" s="19" t="n">
        <v>7</v>
      </c>
      <c r="B8" s="20" t="inlineStr">
        <is>
          <t>Clinica medica</t>
        </is>
      </c>
      <c r="C8" s="15">
        <f>COUNTIF(tblComercios[Categoría],B8)</f>
        <v/>
      </c>
      <c r="D8" s="25">
        <f>IF(SUM($C$2:$C$285)=0,"",C8/SUM($C$2:$C$285))</f>
        <v/>
      </c>
    </row>
    <row r="9">
      <c r="A9" s="22" t="n">
        <v>8</v>
      </c>
      <c r="B9" s="23" t="inlineStr">
        <is>
          <t>Centro de rehabilitacion</t>
        </is>
      </c>
      <c r="C9" s="13">
        <f>COUNTIF(tblComercios[Categoría],B9)</f>
        <v/>
      </c>
      <c r="D9" s="26">
        <f>IF(SUM($C$2:$C$285)=0,"",C9/SUM($C$2:$C$285))</f>
        <v/>
      </c>
    </row>
    <row r="10">
      <c r="A10" s="19" t="n">
        <v>9</v>
      </c>
      <c r="B10" s="20" t="inlineStr">
        <is>
          <t>Lubricantes aceites lubricentro</t>
        </is>
      </c>
      <c r="C10" s="15">
        <f>COUNTIF(tblComercios[Categoría],B10)</f>
        <v/>
      </c>
      <c r="D10" s="25">
        <f>IF(SUM($C$2:$C$285)=0,"",C10/SUM($C$2:$C$285))</f>
        <v/>
      </c>
    </row>
    <row r="11">
      <c r="A11" s="22" t="n">
        <v>10</v>
      </c>
      <c r="B11" s="23" t="inlineStr">
        <is>
          <t>Nutricion nutricionistas</t>
        </is>
      </c>
      <c r="C11" s="13">
        <f>COUNTIF(tblComercios[Categoría],B11)</f>
        <v/>
      </c>
      <c r="D11" s="26">
        <f>IF(SUM($C$2:$C$285)=0,"",C11/SUM($C$2:$C$285))</f>
        <v/>
      </c>
    </row>
    <row r="12">
      <c r="A12" s="19" t="n">
        <v>11</v>
      </c>
      <c r="B12" s="20" t="inlineStr">
        <is>
          <t>Alimentos balanceados</t>
        </is>
      </c>
      <c r="C12" s="15">
        <f>COUNTIF(tblComercios[Categoría],B12)</f>
        <v/>
      </c>
      <c r="D12" s="25">
        <f>IF(SUM($C$2:$C$285)=0,"",C12/SUM($C$2:$C$285))</f>
        <v/>
      </c>
    </row>
    <row r="13">
      <c r="A13" s="22" t="n">
        <v>12</v>
      </c>
      <c r="B13" s="23" t="inlineStr">
        <is>
          <t>Centro de estetica</t>
        </is>
      </c>
      <c r="C13" s="13">
        <f>COUNTIF(tblComercios[Categoría],B13)</f>
        <v/>
      </c>
      <c r="D13" s="26">
        <f>IF(SUM($C$2:$C$285)=0,"",C13/SUM($C$2:$C$285))</f>
        <v/>
      </c>
    </row>
    <row r="14">
      <c r="A14" s="19" t="n">
        <v>13</v>
      </c>
      <c r="B14" s="20" t="inlineStr">
        <is>
          <t>Psicologia</t>
        </is>
      </c>
      <c r="C14" s="15">
        <f>COUNTIF(tblComercios[Categoría],B14)</f>
        <v/>
      </c>
      <c r="D14" s="25">
        <f>IF(SUM($C$2:$C$285)=0,"",C14/SUM($C$2:$C$285))</f>
        <v/>
      </c>
    </row>
    <row r="15">
      <c r="A15" s="22" t="n">
        <v>14</v>
      </c>
      <c r="B15" s="23" t="inlineStr">
        <is>
          <t>Alojamiento cabanas camping</t>
        </is>
      </c>
      <c r="C15" s="13">
        <f>COUNTIF(tblComercios[Categoría],B15)</f>
        <v/>
      </c>
      <c r="D15" s="26">
        <f>IF(SUM($C$2:$C$285)=0,"",C15/SUM($C$2:$C$285))</f>
        <v/>
      </c>
    </row>
    <row r="16">
      <c r="A16" s="19" t="n">
        <v>15</v>
      </c>
      <c r="B16" s="20" t="inlineStr">
        <is>
          <t>Repuestos del automotor autopartes</t>
        </is>
      </c>
      <c r="C16" s="15">
        <f>COUNTIF(tblComercios[Categoría],B16)</f>
        <v/>
      </c>
      <c r="D16" s="25">
        <f>IF(SUM($C$2:$C$285)=0,"",C16/SUM($C$2:$C$285))</f>
        <v/>
      </c>
    </row>
    <row r="17">
      <c r="A17" s="22" t="n">
        <v>16</v>
      </c>
      <c r="B17" s="23" t="inlineStr">
        <is>
          <t>Restaurantes parrilas</t>
        </is>
      </c>
      <c r="C17" s="13">
        <f>COUNTIF(tblComercios[Categoría],B17)</f>
        <v/>
      </c>
      <c r="D17" s="26">
        <f>IF(SUM($C$2:$C$285)=0,"",C17/SUM($C$2:$C$285))</f>
        <v/>
      </c>
    </row>
    <row r="18">
      <c r="A18" s="19" t="n">
        <v>17</v>
      </c>
      <c r="B18" s="20" t="inlineStr">
        <is>
          <t>Accesorios de telefonia celular</t>
        </is>
      </c>
      <c r="C18" s="15">
        <f>COUNTIF(tblComercios[Categoría],B18)</f>
        <v/>
      </c>
      <c r="D18" s="25">
        <f>IF(SUM($C$2:$C$285)=0,"",C18/SUM($C$2:$C$285))</f>
        <v/>
      </c>
    </row>
    <row r="19">
      <c r="A19" s="22" t="n">
        <v>18</v>
      </c>
      <c r="B19" s="23" t="inlineStr">
        <is>
          <t>Articulos de limpieza todo suelto</t>
        </is>
      </c>
      <c r="C19" s="13">
        <f>COUNTIF(tblComercios[Categoría],B19)</f>
        <v/>
      </c>
      <c r="D19" s="26">
        <f>IF(SUM($C$2:$C$285)=0,"",C19/SUM($C$2:$C$285))</f>
        <v/>
      </c>
    </row>
    <row r="20">
      <c r="A20" s="19" t="n">
        <v>19</v>
      </c>
      <c r="B20" s="20" t="inlineStr">
        <is>
          <t>Bodegas vinedos fincas</t>
        </is>
      </c>
      <c r="C20" s="15">
        <f>COUNTIF(tblComercios[Categoría],B20)</f>
        <v/>
      </c>
      <c r="D20" s="25">
        <f>IF(SUM($C$2:$C$285)=0,"",C20/SUM($C$2:$C$285))</f>
        <v/>
      </c>
    </row>
    <row r="21">
      <c r="A21" s="22" t="n">
        <v>20</v>
      </c>
      <c r="B21" s="23" t="inlineStr">
        <is>
          <t>Pediatria neonatologia</t>
        </is>
      </c>
      <c r="C21" s="13">
        <f>COUNTIF(tblComercios[Categoría],B21)</f>
        <v/>
      </c>
      <c r="D21" s="26">
        <f>IF(SUM($C$2:$C$285)=0,"",C21/SUM($C$2:$C$285))</f>
        <v/>
      </c>
    </row>
    <row r="22">
      <c r="A22" s="19" t="n">
        <v>21</v>
      </c>
      <c r="B22" s="20" t="inlineStr">
        <is>
          <t>Barberias peluqueria barberos</t>
        </is>
      </c>
      <c r="C22" s="15">
        <f>COUNTIF(tblComercios[Categoría],B22)</f>
        <v/>
      </c>
      <c r="D22" s="25">
        <f>IF(SUM($C$2:$C$285)=0,"",C22/SUM($C$2:$C$285))</f>
        <v/>
      </c>
    </row>
    <row r="23">
      <c r="A23" s="22" t="n">
        <v>22</v>
      </c>
      <c r="B23" s="23" t="inlineStr">
        <is>
          <t>Ginecologia y obsterticia</t>
        </is>
      </c>
      <c r="C23" s="13">
        <f>COUNTIF(tblComercios[Categoría],B23)</f>
        <v/>
      </c>
      <c r="D23" s="26">
        <f>IF(SUM($C$2:$C$285)=0,"",C23/SUM($C$2:$C$285))</f>
        <v/>
      </c>
    </row>
    <row r="24">
      <c r="A24" s="19" t="n">
        <v>23</v>
      </c>
      <c r="B24" s="20" t="inlineStr">
        <is>
          <t>Clinica del lenguaje</t>
        </is>
      </c>
      <c r="C24" s="15">
        <f>COUNTIF(tblComercios[Categoría],B24)</f>
        <v/>
      </c>
      <c r="D24" s="25">
        <f>IF(SUM($C$2:$C$285)=0,"",C24/SUM($C$2:$C$285))</f>
        <v/>
      </c>
    </row>
    <row r="25">
      <c r="A25" s="22" t="n">
        <v>24</v>
      </c>
      <c r="B25" s="23" t="inlineStr">
        <is>
          <t>Dieteticas productos naturales</t>
        </is>
      </c>
      <c r="C25" s="13">
        <f>COUNTIF(tblComercios[Categoría],B25)</f>
        <v/>
      </c>
      <c r="D25" s="26">
        <f>IF(SUM($C$2:$C$285)=0,"",C25/SUM($C$2:$C$285))</f>
        <v/>
      </c>
    </row>
    <row r="26">
      <c r="A26" s="19" t="n">
        <v>25</v>
      </c>
      <c r="B26" s="20" t="inlineStr">
        <is>
          <t>Gimnasios gym</t>
        </is>
      </c>
      <c r="C26" s="15">
        <f>COUNTIF(tblComercios[Categoría],B26)</f>
        <v/>
      </c>
      <c r="D26" s="25">
        <f>IF(SUM($C$2:$C$285)=0,"",C26/SUM($C$2:$C$285))</f>
        <v/>
      </c>
    </row>
    <row r="27">
      <c r="A27" s="22" t="n">
        <v>26</v>
      </c>
      <c r="B27" s="23" t="inlineStr">
        <is>
          <t>Traumatologia y ortopedia</t>
        </is>
      </c>
      <c r="C27" s="13">
        <f>COUNTIF(tblComercios[Categoría],B27)</f>
        <v/>
      </c>
      <c r="D27" s="26">
        <f>IF(SUM($C$2:$C$285)=0,"",C27/SUM($C$2:$C$285))</f>
        <v/>
      </c>
    </row>
    <row r="28">
      <c r="A28" s="19" t="n">
        <v>27</v>
      </c>
      <c r="B28" s="20" t="inlineStr">
        <is>
          <t>Confiterias reposteria</t>
        </is>
      </c>
      <c r="C28" s="15">
        <f>COUNTIF(tblComercios[Categoría],B28)</f>
        <v/>
      </c>
      <c r="D28" s="25">
        <f>IF(SUM($C$2:$C$285)=0,"",C28/SUM($C$2:$C$285))</f>
        <v/>
      </c>
    </row>
    <row r="29">
      <c r="A29" s="22" t="n">
        <v>28</v>
      </c>
      <c r="B29" s="23" t="inlineStr">
        <is>
          <t>Cardiologia medico cardiologo</t>
        </is>
      </c>
      <c r="C29" s="13">
        <f>COUNTIF(tblComercios[Categoría],B29)</f>
        <v/>
      </c>
      <c r="D29" s="26">
        <f>IF(SUM($C$2:$C$285)=0,"",C29/SUM($C$2:$C$285))</f>
        <v/>
      </c>
    </row>
    <row r="30">
      <c r="A30" s="19" t="n">
        <v>29</v>
      </c>
      <c r="B30" s="20" t="inlineStr">
        <is>
          <t>Ferreterias herramientas</t>
        </is>
      </c>
      <c r="C30" s="15">
        <f>COUNTIF(tblComercios[Categoría],B30)</f>
        <v/>
      </c>
      <c r="D30" s="25">
        <f>IF(SUM($C$2:$C$285)=0,"",C30/SUM($C$2:$C$285))</f>
        <v/>
      </c>
    </row>
    <row r="31">
      <c r="A31" s="22" t="n">
        <v>30</v>
      </c>
      <c r="B31" s="23" t="inlineStr">
        <is>
          <t>Artesanias</t>
        </is>
      </c>
      <c r="C31" s="13">
        <f>COUNTIF(tblComercios[Categoría],B31)</f>
        <v/>
      </c>
      <c r="D31" s="26">
        <f>IF(SUM($C$2:$C$285)=0,"",C31/SUM($C$2:$C$285))</f>
        <v/>
      </c>
    </row>
    <row r="32">
      <c r="A32" s="19" t="n">
        <v>31</v>
      </c>
      <c r="B32" s="20" t="inlineStr">
        <is>
          <t>Bioquimicos laboratorio</t>
        </is>
      </c>
      <c r="C32" s="15">
        <f>COUNTIF(tblComercios[Categoría],B32)</f>
        <v/>
      </c>
      <c r="D32" s="25">
        <f>IF(SUM($C$2:$C$285)=0,"",C32/SUM($C$2:$C$285))</f>
        <v/>
      </c>
    </row>
    <row r="33">
      <c r="A33" s="22" t="n">
        <v>32</v>
      </c>
      <c r="B33" s="23" t="inlineStr">
        <is>
          <t>Diagnostico por imagenes ecografia mamografias</t>
        </is>
      </c>
      <c r="C33" s="13">
        <f>COUNTIF(tblComercios[Categoría],B33)</f>
        <v/>
      </c>
      <c r="D33" s="26">
        <f>IF(SUM($C$2:$C$285)=0,"",C33/SUM($C$2:$C$285))</f>
        <v/>
      </c>
    </row>
    <row r="34">
      <c r="A34" s="19" t="n">
        <v>33</v>
      </c>
      <c r="B34" s="20" t="inlineStr">
        <is>
          <t>Tienda para mascotas veterinaria</t>
        </is>
      </c>
      <c r="C34" s="15">
        <f>COUNTIF(tblComercios[Categoría],B34)</f>
        <v/>
      </c>
      <c r="D34" s="25">
        <f>IF(SUM($C$2:$C$285)=0,"",C34/SUM($C$2:$C$285))</f>
        <v/>
      </c>
    </row>
    <row r="35">
      <c r="A35" s="22" t="n">
        <v>34</v>
      </c>
      <c r="B35" s="23" t="inlineStr">
        <is>
          <t>Amoblamientos</t>
        </is>
      </c>
      <c r="C35" s="13">
        <f>COUNTIF(tblComercios[Categoría],B35)</f>
        <v/>
      </c>
      <c r="D35" s="26">
        <f>IF(SUM($C$2:$C$285)=0,"",C35/SUM($C$2:$C$285))</f>
        <v/>
      </c>
    </row>
    <row r="36">
      <c r="A36" s="19" t="n">
        <v>35</v>
      </c>
      <c r="B36" s="20" t="inlineStr">
        <is>
          <t>Consultorios medicos</t>
        </is>
      </c>
      <c r="C36" s="15">
        <f>COUNTIF(tblComercios[Categoría],B36)</f>
        <v/>
      </c>
      <c r="D36" s="25">
        <f>IF(SUM($C$2:$C$285)=0,"",C36/SUM($C$2:$C$285))</f>
        <v/>
      </c>
    </row>
    <row r="37">
      <c r="A37" s="22" t="n">
        <v>36</v>
      </c>
      <c r="B37" s="23" t="inlineStr">
        <is>
          <t>Hoteles hostel hoteleria</t>
        </is>
      </c>
      <c r="C37" s="13">
        <f>COUNTIF(tblComercios[Categoría],B37)</f>
        <v/>
      </c>
      <c r="D37" s="26">
        <f>IF(SUM($C$2:$C$285)=0,"",C37/SUM($C$2:$C$285))</f>
        <v/>
      </c>
    </row>
    <row r="38">
      <c r="A38" s="19" t="n">
        <v>37</v>
      </c>
      <c r="B38" s="20" t="inlineStr">
        <is>
          <t>Productor de seguros</t>
        </is>
      </c>
      <c r="C38" s="15">
        <f>COUNTIF(tblComercios[Categoría],B38)</f>
        <v/>
      </c>
      <c r="D38" s="25">
        <f>IF(SUM($C$2:$C$285)=0,"",C38/SUM($C$2:$C$285))</f>
        <v/>
      </c>
    </row>
    <row r="39">
      <c r="A39" s="22" t="n">
        <v>38</v>
      </c>
      <c r="B39" s="23" t="inlineStr">
        <is>
          <t>Tinenda de bebidas vinotecas licores</t>
        </is>
      </c>
      <c r="C39" s="13">
        <f>COUNTIF(tblComercios[Categoría],B39)</f>
        <v/>
      </c>
      <c r="D39" s="26">
        <f>IF(SUM($C$2:$C$285)=0,"",C39/SUM($C$2:$C$285))</f>
        <v/>
      </c>
    </row>
    <row r="40">
      <c r="A40" s="19" t="n">
        <v>39</v>
      </c>
      <c r="B40" s="20" t="inlineStr">
        <is>
          <t>Autopartes</t>
        </is>
      </c>
      <c r="C40" s="15">
        <f>COUNTIF(tblComercios[Categoría],B40)</f>
        <v/>
      </c>
      <c r="D40" s="25">
        <f>IF(SUM($C$2:$C$285)=0,"",C40/SUM($C$2:$C$285))</f>
        <v/>
      </c>
    </row>
    <row r="41">
      <c r="A41" s="22" t="n">
        <v>40</v>
      </c>
      <c r="B41" s="23" t="inlineStr">
        <is>
          <t>Estetica vehicular tuning</t>
        </is>
      </c>
      <c r="C41" s="13">
        <f>COUNTIF(tblComercios[Categoría],B41)</f>
        <v/>
      </c>
      <c r="D41" s="26">
        <f>IF(SUM($C$2:$C$285)=0,"",C41/SUM($C$2:$C$285))</f>
        <v/>
      </c>
    </row>
    <row r="42">
      <c r="A42" s="19" t="n">
        <v>41</v>
      </c>
      <c r="B42" s="20" t="inlineStr">
        <is>
          <t>Mecanica de motos</t>
        </is>
      </c>
      <c r="C42" s="15">
        <f>COUNTIF(tblComercios[Categoría],B42)</f>
        <v/>
      </c>
      <c r="D42" s="25">
        <f>IF(SUM($C$2:$C$285)=0,"",C42/SUM($C$2:$C$285))</f>
        <v/>
      </c>
    </row>
    <row r="43">
      <c r="A43" s="22" t="n">
        <v>42</v>
      </c>
      <c r="B43" s="23" t="inlineStr">
        <is>
          <t>Panaderias</t>
        </is>
      </c>
      <c r="C43" s="13">
        <f>COUNTIF(tblComercios[Categoría],B43)</f>
        <v/>
      </c>
      <c r="D43" s="26">
        <f>IF(SUM($C$2:$C$285)=0,"",C43/SUM($C$2:$C$285))</f>
        <v/>
      </c>
    </row>
    <row r="44">
      <c r="A44" s="19" t="n">
        <v>43</v>
      </c>
      <c r="B44" s="20" t="inlineStr">
        <is>
          <t>Aberturas</t>
        </is>
      </c>
      <c r="C44" s="15">
        <f>COUNTIF(tblComercios[Categoría],B44)</f>
        <v/>
      </c>
      <c r="D44" s="25">
        <f>IF(SUM($C$2:$C$285)=0,"",C44/SUM($C$2:$C$285))</f>
        <v/>
      </c>
    </row>
    <row r="45">
      <c r="A45" s="22" t="n">
        <v>44</v>
      </c>
      <c r="B45" s="23" t="inlineStr">
        <is>
          <t>Agencias de motos</t>
        </is>
      </c>
      <c r="C45" s="13">
        <f>COUNTIF(tblComercios[Categoría],B45)</f>
        <v/>
      </c>
      <c r="D45" s="26">
        <f>IF(SUM($C$2:$C$285)=0,"",C45/SUM($C$2:$C$285))</f>
        <v/>
      </c>
    </row>
    <row r="46">
      <c r="A46" s="19" t="n">
        <v>45</v>
      </c>
      <c r="B46" s="20" t="inlineStr">
        <is>
          <t>Cosmetica cosmetologia cosmetologa cosmiatra</t>
        </is>
      </c>
      <c r="C46" s="15">
        <f>COUNTIF(tblComercios[Categoría],B46)</f>
        <v/>
      </c>
      <c r="D46" s="25">
        <f>IF(SUM($C$2:$C$285)=0,"",C46/SUM($C$2:$C$285))</f>
        <v/>
      </c>
    </row>
    <row r="47">
      <c r="A47" s="22" t="n">
        <v>46</v>
      </c>
      <c r="B47" s="23" t="inlineStr">
        <is>
          <t>Implantes</t>
        </is>
      </c>
      <c r="C47" s="13">
        <f>COUNTIF(tblComercios[Categoría],B47)</f>
        <v/>
      </c>
      <c r="D47" s="26">
        <f>IF(SUM($C$2:$C$285)=0,"",C47/SUM($C$2:$C$285))</f>
        <v/>
      </c>
    </row>
    <row r="48">
      <c r="A48" s="19" t="n">
        <v>47</v>
      </c>
      <c r="B48" s="20" t="inlineStr">
        <is>
          <t>Alineacion y balanceo</t>
        </is>
      </c>
      <c r="C48" s="15">
        <f>COUNTIF(tblComercios[Categoría],B48)</f>
        <v/>
      </c>
      <c r="D48" s="25">
        <f>IF(SUM($C$2:$C$285)=0,"",C48/SUM($C$2:$C$285))</f>
        <v/>
      </c>
    </row>
    <row r="49">
      <c r="A49" s="22" t="n">
        <v>48</v>
      </c>
      <c r="B49" s="23" t="inlineStr">
        <is>
          <t>Bicicleterias</t>
        </is>
      </c>
      <c r="C49" s="13">
        <f>COUNTIF(tblComercios[Categoría],B49)</f>
        <v/>
      </c>
      <c r="D49" s="26">
        <f>IF(SUM($C$2:$C$285)=0,"",C49/SUM($C$2:$C$285))</f>
        <v/>
      </c>
    </row>
    <row r="50">
      <c r="A50" s="19" t="n">
        <v>49</v>
      </c>
      <c r="B50" s="20" t="inlineStr">
        <is>
          <t>Cabanas alquiler</t>
        </is>
      </c>
      <c r="C50" s="15">
        <f>COUNTIF(tblComercios[Categoría],B50)</f>
        <v/>
      </c>
      <c r="D50" s="25">
        <f>IF(SUM($C$2:$C$285)=0,"",C50/SUM($C$2:$C$285))</f>
        <v/>
      </c>
    </row>
    <row r="51">
      <c r="A51" s="22" t="n">
        <v>50</v>
      </c>
      <c r="B51" s="23" t="inlineStr">
        <is>
          <t>Pinturerias impermeabilizantes</t>
        </is>
      </c>
      <c r="C51" s="13">
        <f>COUNTIF(tblComercios[Categoría],B51)</f>
        <v/>
      </c>
      <c r="D51" s="26">
        <f>IF(SUM($C$2:$C$285)=0,"",C51/SUM($C$2:$C$285))</f>
        <v/>
      </c>
    </row>
    <row r="52">
      <c r="A52" s="19" t="n">
        <v>51</v>
      </c>
      <c r="B52" s="20" t="inlineStr">
        <is>
          <t>Almacen natural</t>
        </is>
      </c>
      <c r="C52" s="15">
        <f>COUNTIF(tblComercios[Categoría],B52)</f>
        <v/>
      </c>
      <c r="D52" s="25">
        <f>IF(SUM($C$2:$C$285)=0,"",C52/SUM($C$2:$C$285))</f>
        <v/>
      </c>
    </row>
    <row r="53">
      <c r="A53" s="22" t="n">
        <v>52</v>
      </c>
      <c r="B53" s="23" t="inlineStr">
        <is>
          <t>Apar thotel</t>
        </is>
      </c>
      <c r="C53" s="13">
        <f>COUNTIF(tblComercios[Categoría],B53)</f>
        <v/>
      </c>
      <c r="D53" s="26">
        <f>IF(SUM($C$2:$C$285)=0,"",C53/SUM($C$2:$C$285))</f>
        <v/>
      </c>
    </row>
    <row r="54">
      <c r="A54" s="19" t="n">
        <v>53</v>
      </c>
      <c r="B54" s="20" t="inlineStr">
        <is>
          <t>Carnicerias</t>
        </is>
      </c>
      <c r="C54" s="15">
        <f>COUNTIF(tblComercios[Categoría],B54)</f>
        <v/>
      </c>
      <c r="D54" s="25">
        <f>IF(SUM($C$2:$C$285)=0,"",C54/SUM($C$2:$C$285))</f>
        <v/>
      </c>
    </row>
    <row r="55">
      <c r="A55" s="22" t="n">
        <v>54</v>
      </c>
      <c r="B55" s="23" t="inlineStr">
        <is>
          <t>Carteleria graficas ploteados letreros</t>
        </is>
      </c>
      <c r="C55" s="13">
        <f>COUNTIF(tblComercios[Categoría],B55)</f>
        <v/>
      </c>
      <c r="D55" s="26">
        <f>IF(SUM($C$2:$C$285)=0,"",C55/SUM($C$2:$C$285))</f>
        <v/>
      </c>
    </row>
    <row r="56">
      <c r="A56" s="19" t="n">
        <v>55</v>
      </c>
      <c r="B56" s="20" t="inlineStr">
        <is>
          <t>Diagnostico computarizado mecanica</t>
        </is>
      </c>
      <c r="C56" s="15">
        <f>COUNTIF(tblComercios[Categoría],B56)</f>
        <v/>
      </c>
      <c r="D56" s="25">
        <f>IF(SUM($C$2:$C$285)=0,"",C56/SUM($C$2:$C$285))</f>
        <v/>
      </c>
    </row>
    <row r="57">
      <c r="A57" s="22" t="n">
        <v>56</v>
      </c>
      <c r="B57" s="23" t="inlineStr">
        <is>
          <t>Electricidad iluminacion</t>
        </is>
      </c>
      <c r="C57" s="13">
        <f>COUNTIF(tblComercios[Categoría],B57)</f>
        <v/>
      </c>
      <c r="D57" s="26">
        <f>IF(SUM($C$2:$C$285)=0,"",C57/SUM($C$2:$C$285))</f>
        <v/>
      </c>
    </row>
    <row r="58">
      <c r="A58" s="19" t="n">
        <v>57</v>
      </c>
      <c r="B58" s="20" t="inlineStr">
        <is>
          <t>Indumentaria</t>
        </is>
      </c>
      <c r="C58" s="15">
        <f>COUNTIF(tblComercios[Categoría],B58)</f>
        <v/>
      </c>
      <c r="D58" s="25">
        <f>IF(SUM($C$2:$C$285)=0,"",C58/SUM($C$2:$C$285))</f>
        <v/>
      </c>
    </row>
    <row r="59">
      <c r="A59" s="22" t="n">
        <v>58</v>
      </c>
      <c r="B59" s="23" t="inlineStr">
        <is>
          <t>Mueblerias muebles de oficina</t>
        </is>
      </c>
      <c r="C59" s="13">
        <f>COUNTIF(tblComercios[Categoría],B59)</f>
        <v/>
      </c>
      <c r="D59" s="26">
        <f>IF(SUM($C$2:$C$285)=0,"",C59/SUM($C$2:$C$285))</f>
        <v/>
      </c>
    </row>
    <row r="60">
      <c r="A60" s="19" t="n">
        <v>59</v>
      </c>
      <c r="B60" s="20" t="inlineStr">
        <is>
          <t>Oftalmologia oftalmologos</t>
        </is>
      </c>
      <c r="C60" s="15">
        <f>COUNTIF(tblComercios[Categoría],B60)</f>
        <v/>
      </c>
      <c r="D60" s="25">
        <f>IF(SUM($C$2:$C$285)=0,"",C60/SUM($C$2:$C$285))</f>
        <v/>
      </c>
    </row>
    <row r="61">
      <c r="A61" s="22" t="n">
        <v>60</v>
      </c>
      <c r="B61" s="23" t="inlineStr">
        <is>
          <t>Psicopedagogia</t>
        </is>
      </c>
      <c r="C61" s="13">
        <f>COUNTIF(tblComercios[Categoría],B61)</f>
        <v/>
      </c>
      <c r="D61" s="26">
        <f>IF(SUM($C$2:$C$285)=0,"",C61/SUM($C$2:$C$285))</f>
        <v/>
      </c>
    </row>
    <row r="62">
      <c r="A62" s="19" t="n">
        <v>61</v>
      </c>
      <c r="B62" s="20" t="inlineStr">
        <is>
          <t>Administraciones alquileres inmobiliarias</t>
        </is>
      </c>
      <c r="C62" s="15">
        <f>COUNTIF(tblComercios[Categoría],B62)</f>
        <v/>
      </c>
      <c r="D62" s="25">
        <f>IF(SUM($C$2:$C$285)=0,"",C62/SUM($C$2:$C$285))</f>
        <v/>
      </c>
    </row>
    <row r="63">
      <c r="A63" s="22" t="n">
        <v>62</v>
      </c>
      <c r="B63" s="23" t="inlineStr">
        <is>
          <t>Agencia de autos automotores</t>
        </is>
      </c>
      <c r="C63" s="13">
        <f>COUNTIF(tblComercios[Categoría],B63)</f>
        <v/>
      </c>
      <c r="D63" s="26">
        <f>IF(SUM($C$2:$C$285)=0,"",C63/SUM($C$2:$C$285))</f>
        <v/>
      </c>
    </row>
    <row r="64">
      <c r="A64" s="19" t="n">
        <v>63</v>
      </c>
      <c r="B64" s="20" t="inlineStr">
        <is>
          <t>Agencia de viajes</t>
        </is>
      </c>
      <c r="C64" s="15">
        <f>COUNTIF(tblComercios[Categoría],B64)</f>
        <v/>
      </c>
      <c r="D64" s="25">
        <f>IF(SUM($C$2:$C$285)=0,"",C64/SUM($C$2:$C$285))</f>
        <v/>
      </c>
    </row>
    <row r="65">
      <c r="A65" s="22" t="n">
        <v>64</v>
      </c>
      <c r="B65" s="23" t="inlineStr">
        <is>
          <t>Aire acondicionado</t>
        </is>
      </c>
      <c r="C65" s="13">
        <f>COUNTIF(tblComercios[Categoría],B65)</f>
        <v/>
      </c>
      <c r="D65" s="26">
        <f>IF(SUM($C$2:$C$285)=0,"",C65/SUM($C$2:$C$285))</f>
        <v/>
      </c>
    </row>
    <row r="66">
      <c r="A66" s="19" t="n">
        <v>65</v>
      </c>
      <c r="B66" s="20" t="inlineStr">
        <is>
          <t>Aislantes impemeabilizantes</t>
        </is>
      </c>
      <c r="C66" s="15">
        <f>COUNTIF(tblComercios[Categoría],B66)</f>
        <v/>
      </c>
      <c r="D66" s="25">
        <f>IF(SUM($C$2:$C$285)=0,"",C66/SUM($C$2:$C$285))</f>
        <v/>
      </c>
    </row>
    <row r="67">
      <c r="A67" s="22" t="n">
        <v>66</v>
      </c>
      <c r="B67" s="23" t="inlineStr">
        <is>
          <t>Bazar regaleria</t>
        </is>
      </c>
      <c r="C67" s="13">
        <f>COUNTIF(tblComercios[Categoría],B67)</f>
        <v/>
      </c>
      <c r="D67" s="26">
        <f>IF(SUM($C$2:$C$285)=0,"",C67/SUM($C$2:$C$285))</f>
        <v/>
      </c>
    </row>
    <row r="68">
      <c r="A68" s="19" t="n">
        <v>67</v>
      </c>
      <c r="B68" s="20" t="inlineStr">
        <is>
          <t>Cafeterias cafe desayunos</t>
        </is>
      </c>
      <c r="C68" s="15">
        <f>COUNTIF(tblComercios[Categoría],B68)</f>
        <v/>
      </c>
      <c r="D68" s="25">
        <f>IF(SUM($C$2:$C$285)=0,"",C68/SUM($C$2:$C$285))</f>
        <v/>
      </c>
    </row>
    <row r="69">
      <c r="A69" s="22" t="n">
        <v>68</v>
      </c>
      <c r="B69" s="23" t="inlineStr">
        <is>
          <t>Cortinados</t>
        </is>
      </c>
      <c r="C69" s="13">
        <f>COUNTIF(tblComercios[Categoría],B69)</f>
        <v/>
      </c>
      <c r="D69" s="26">
        <f>IF(SUM($C$2:$C$285)=0,"",C69/SUM($C$2:$C$285))</f>
        <v/>
      </c>
    </row>
    <row r="70">
      <c r="A70" s="19" t="n">
        <v>69</v>
      </c>
      <c r="B70" s="20" t="inlineStr">
        <is>
          <t>Cotillon</t>
        </is>
      </c>
      <c r="C70" s="15">
        <f>COUNTIF(tblComercios[Categoría],B70)</f>
        <v/>
      </c>
      <c r="D70" s="25">
        <f>IF(SUM($C$2:$C$285)=0,"",C70/SUM($C$2:$C$285))</f>
        <v/>
      </c>
    </row>
    <row r="71">
      <c r="A71" s="22" t="n">
        <v>70</v>
      </c>
      <c r="B71" s="23" t="inlineStr">
        <is>
          <t>Estilistas peluqueria barberias</t>
        </is>
      </c>
      <c r="C71" s="13">
        <f>COUNTIF(tblComercios[Categoría],B71)</f>
        <v/>
      </c>
      <c r="D71" s="26">
        <f>IF(SUM($C$2:$C$285)=0,"",C71/SUM($C$2:$C$285))</f>
        <v/>
      </c>
    </row>
    <row r="72">
      <c r="A72" s="19" t="n">
        <v>71</v>
      </c>
      <c r="B72" s="20" t="inlineStr">
        <is>
          <t>Fabrica de pastas</t>
        </is>
      </c>
      <c r="C72" s="15">
        <f>COUNTIF(tblComercios[Categoría],B72)</f>
        <v/>
      </c>
      <c r="D72" s="25">
        <f>IF(SUM($C$2:$C$285)=0,"",C72/SUM($C$2:$C$285))</f>
        <v/>
      </c>
    </row>
    <row r="73">
      <c r="A73" s="22" t="n">
        <v>72</v>
      </c>
      <c r="B73" s="23" t="inlineStr">
        <is>
          <t>Fiambrerias</t>
        </is>
      </c>
      <c r="C73" s="13">
        <f>COUNTIF(tblComercios[Categoría],B73)</f>
        <v/>
      </c>
      <c r="D73" s="26">
        <f>IF(SUM($C$2:$C$285)=0,"",C73/SUM($C$2:$C$285))</f>
        <v/>
      </c>
    </row>
    <row r="74">
      <c r="A74" s="19" t="n">
        <v>73</v>
      </c>
      <c r="B74" s="20" t="inlineStr">
        <is>
          <t>Gastroenterologia</t>
        </is>
      </c>
      <c r="C74" s="15">
        <f>COUNTIF(tblComercios[Categoría],B74)</f>
        <v/>
      </c>
      <c r="D74" s="25">
        <f>IF(SUM($C$2:$C$285)=0,"",C74/SUM($C$2:$C$285))</f>
        <v/>
      </c>
    </row>
    <row r="75">
      <c r="A75" s="22" t="n">
        <v>74</v>
      </c>
      <c r="B75" s="23" t="inlineStr">
        <is>
          <t>Alarmas</t>
        </is>
      </c>
      <c r="C75" s="13">
        <f>COUNTIF(tblComercios[Categoría],B75)</f>
        <v/>
      </c>
      <c r="D75" s="26">
        <f>IF(SUM($C$2:$C$285)=0,"",C75/SUM($C$2:$C$285))</f>
        <v/>
      </c>
    </row>
    <row r="76">
      <c r="A76" s="19" t="n">
        <v>75</v>
      </c>
      <c r="B76" s="20" t="inlineStr">
        <is>
          <t>Almacen celiaco</t>
        </is>
      </c>
      <c r="C76" s="15">
        <f>COUNTIF(tblComercios[Categoría],B76)</f>
        <v/>
      </c>
      <c r="D76" s="25">
        <f>IF(SUM($C$2:$C$285)=0,"",C76/SUM($C$2:$C$285))</f>
        <v/>
      </c>
    </row>
    <row r="77">
      <c r="A77" s="22" t="n">
        <v>76</v>
      </c>
      <c r="B77" s="23" t="inlineStr">
        <is>
          <t>Baterias</t>
        </is>
      </c>
      <c r="C77" s="13">
        <f>COUNTIF(tblComercios[Categoría],B77)</f>
        <v/>
      </c>
      <c r="D77" s="26">
        <f>IF(SUM($C$2:$C$285)=0,"",C77/SUM($C$2:$C$285))</f>
        <v/>
      </c>
    </row>
    <row r="78">
      <c r="A78" s="19" t="n">
        <v>77</v>
      </c>
      <c r="B78" s="20" t="inlineStr">
        <is>
          <t>Cirujanos cirugia</t>
        </is>
      </c>
      <c r="C78" s="15">
        <f>COUNTIF(tblComercios[Categoría],B78)</f>
        <v/>
      </c>
      <c r="D78" s="25">
        <f>IF(SUM($C$2:$C$285)=0,"",C78/SUM($C$2:$C$285))</f>
        <v/>
      </c>
    </row>
    <row r="79">
      <c r="A79" s="22" t="n">
        <v>78</v>
      </c>
      <c r="B79" s="23" t="inlineStr">
        <is>
          <t>Cirujia cirujano</t>
        </is>
      </c>
      <c r="C79" s="13">
        <f>COUNTIF(tblComercios[Categoría],B79)</f>
        <v/>
      </c>
      <c r="D79" s="26">
        <f>IF(SUM($C$2:$C$285)=0,"",C79/SUM($C$2:$C$285))</f>
        <v/>
      </c>
    </row>
    <row r="80">
      <c r="A80" s="19" t="n">
        <v>79</v>
      </c>
      <c r="B80" s="20" t="inlineStr">
        <is>
          <t>Contadores estudios contables</t>
        </is>
      </c>
      <c r="C80" s="15">
        <f>COUNTIF(tblComercios[Categoría],B80)</f>
        <v/>
      </c>
      <c r="D80" s="25">
        <f>IF(SUM($C$2:$C$285)=0,"",C80/SUM($C$2:$C$285))</f>
        <v/>
      </c>
    </row>
    <row r="81">
      <c r="A81" s="22" t="n">
        <v>80</v>
      </c>
      <c r="B81" s="23" t="inlineStr">
        <is>
          <t>Distribuidoras</t>
        </is>
      </c>
      <c r="C81" s="13">
        <f>COUNTIF(tblComercios[Categoría],B81)</f>
        <v/>
      </c>
      <c r="D81" s="26">
        <f>IF(SUM($C$2:$C$285)=0,"",C81/SUM($C$2:$C$285))</f>
        <v/>
      </c>
    </row>
    <row r="82">
      <c r="A82" s="19" t="n">
        <v>81</v>
      </c>
      <c r="B82" s="20" t="inlineStr">
        <is>
          <t>Institutos oftalmologicos oftalmologia oftalmologos</t>
        </is>
      </c>
      <c r="C82" s="15">
        <f>COUNTIF(tblComercios[Categoría],B82)</f>
        <v/>
      </c>
      <c r="D82" s="25">
        <f>IF(SUM($C$2:$C$285)=0,"",C82/SUM($C$2:$C$285))</f>
        <v/>
      </c>
    </row>
    <row r="83">
      <c r="A83" s="22" t="n">
        <v>82</v>
      </c>
      <c r="B83" s="23" t="inlineStr">
        <is>
          <t>Librerias</t>
        </is>
      </c>
      <c r="C83" s="13">
        <f>COUNTIF(tblComercios[Categoría],B83)</f>
        <v/>
      </c>
      <c r="D83" s="26">
        <f>IF(SUM($C$2:$C$285)=0,"",C83/SUM($C$2:$C$285))</f>
        <v/>
      </c>
    </row>
    <row r="84">
      <c r="A84" s="19" t="n">
        <v>83</v>
      </c>
      <c r="B84" s="20" t="inlineStr">
        <is>
          <t>Mecanica del automotor automotriz</t>
        </is>
      </c>
      <c r="C84" s="15">
        <f>COUNTIF(tblComercios[Categoría],B84)</f>
        <v/>
      </c>
      <c r="D84" s="25">
        <f>IF(SUM($C$2:$C$285)=0,"",C84/SUM($C$2:$C$285))</f>
        <v/>
      </c>
    </row>
    <row r="85">
      <c r="A85" s="22" t="n">
        <v>84</v>
      </c>
      <c r="B85" s="23" t="inlineStr">
        <is>
          <t>Neumonologia</t>
        </is>
      </c>
      <c r="C85" s="13">
        <f>COUNTIF(tblComercios[Categoría],B85)</f>
        <v/>
      </c>
      <c r="D85" s="26">
        <f>IF(SUM($C$2:$C$285)=0,"",C85/SUM($C$2:$C$285))</f>
        <v/>
      </c>
    </row>
    <row r="86">
      <c r="A86" s="19" t="n">
        <v>85</v>
      </c>
      <c r="B86" s="20" t="inlineStr">
        <is>
          <t>Perfrumerias cosmeticos cosmetica</t>
        </is>
      </c>
      <c r="C86" s="15">
        <f>COUNTIF(tblComercios[Categoría],B86)</f>
        <v/>
      </c>
      <c r="D86" s="25">
        <f>IF(SUM($C$2:$C$285)=0,"",C86/SUM($C$2:$C$285))</f>
        <v/>
      </c>
    </row>
    <row r="87">
      <c r="A87" s="22" t="n">
        <v>86</v>
      </c>
      <c r="B87" s="23" t="inlineStr">
        <is>
          <t>Veterinarios</t>
        </is>
      </c>
      <c r="C87" s="13">
        <f>COUNTIF(tblComercios[Categoría],B87)</f>
        <v/>
      </c>
      <c r="D87" s="26">
        <f>IF(SUM($C$2:$C$285)=0,"",C87/SUM($C$2:$C$285))</f>
        <v/>
      </c>
    </row>
    <row r="88">
      <c r="A88" s="19" t="n">
        <v>87</v>
      </c>
      <c r="B88" s="20" t="inlineStr">
        <is>
          <t>Academia</t>
        </is>
      </c>
      <c r="C88" s="15">
        <f>COUNTIF(tblComercios[Categoría],B88)</f>
        <v/>
      </c>
      <c r="D88" s="25">
        <f>IF(SUM($C$2:$C$285)=0,"",C88/SUM($C$2:$C$285))</f>
        <v/>
      </c>
    </row>
    <row r="89">
      <c r="A89" s="22" t="n">
        <v>88</v>
      </c>
      <c r="B89" s="23" t="inlineStr">
        <is>
          <t>Anatomia patologica</t>
        </is>
      </c>
      <c r="C89" s="13">
        <f>COUNTIF(tblComercios[Categoría],B89)</f>
        <v/>
      </c>
      <c r="D89" s="26">
        <f>IF(SUM($C$2:$C$285)=0,"",C89/SUM($C$2:$C$285))</f>
        <v/>
      </c>
    </row>
    <row r="90">
      <c r="A90" s="19" t="n">
        <v>89</v>
      </c>
      <c r="B90" s="20" t="inlineStr">
        <is>
          <t>Articulos de goma</t>
        </is>
      </c>
      <c r="C90" s="15">
        <f>COUNTIF(tblComercios[Categoría],B90)</f>
        <v/>
      </c>
      <c r="D90" s="25">
        <f>IF(SUM($C$2:$C$285)=0,"",C90/SUM($C$2:$C$285))</f>
        <v/>
      </c>
    </row>
    <row r="91">
      <c r="A91" s="22" t="n">
        <v>90</v>
      </c>
      <c r="B91" s="23" t="inlineStr">
        <is>
          <t>Blanco colchones sabanas tuallones</t>
        </is>
      </c>
      <c r="C91" s="13">
        <f>COUNTIF(tblComercios[Categoría],B91)</f>
        <v/>
      </c>
      <c r="D91" s="26">
        <f>IF(SUM($C$2:$C$285)=0,"",C91/SUM($C$2:$C$285))</f>
        <v/>
      </c>
    </row>
    <row r="92">
      <c r="A92" s="19" t="n">
        <v>91</v>
      </c>
      <c r="B92" s="20" t="inlineStr">
        <is>
          <t>Cerrajerias</t>
        </is>
      </c>
      <c r="C92" s="15">
        <f>COUNTIF(tblComercios[Categoría],B92)</f>
        <v/>
      </c>
      <c r="D92" s="25">
        <f>IF(SUM($C$2:$C$285)=0,"",C92/SUM($C$2:$C$285))</f>
        <v/>
      </c>
    </row>
    <row r="93">
      <c r="A93" s="22" t="n">
        <v>92</v>
      </c>
      <c r="B93" s="23" t="inlineStr">
        <is>
          <t>Computacion informatica</t>
        </is>
      </c>
      <c r="C93" s="13">
        <f>COUNTIF(tblComercios[Categoría],B93)</f>
        <v/>
      </c>
      <c r="D93" s="26">
        <f>IF(SUM($C$2:$C$285)=0,"",C93/SUM($C$2:$C$285))</f>
        <v/>
      </c>
    </row>
    <row r="94">
      <c r="A94" s="19" t="n">
        <v>93</v>
      </c>
      <c r="B94" s="20" t="inlineStr">
        <is>
          <t>Cristaleria vidrios</t>
        </is>
      </c>
      <c r="C94" s="15">
        <f>COUNTIF(tblComercios[Categoría],B94)</f>
        <v/>
      </c>
      <c r="D94" s="25">
        <f>IF(SUM($C$2:$C$285)=0,"",C94/SUM($C$2:$C$285))</f>
        <v/>
      </c>
    </row>
    <row r="95">
      <c r="A95" s="22" t="n">
        <v>94</v>
      </c>
      <c r="B95" s="23" t="inlineStr">
        <is>
          <t>Electricidad del automotor</t>
        </is>
      </c>
      <c r="C95" s="13">
        <f>COUNTIF(tblComercios[Categoría],B95)</f>
        <v/>
      </c>
      <c r="D95" s="26">
        <f>IF(SUM($C$2:$C$285)=0,"",C95/SUM($C$2:$C$285))</f>
        <v/>
      </c>
    </row>
    <row r="96">
      <c r="A96" s="19" t="n">
        <v>95</v>
      </c>
      <c r="B96" s="20" t="inlineStr">
        <is>
          <t>Endocrinologia</t>
        </is>
      </c>
      <c r="C96" s="15">
        <f>COUNTIF(tblComercios[Categoría],B96)</f>
        <v/>
      </c>
      <c r="D96" s="25">
        <f>IF(SUM($C$2:$C$285)=0,"",C96/SUM($C$2:$C$285))</f>
        <v/>
      </c>
    </row>
    <row r="97">
      <c r="A97" s="22" t="n">
        <v>96</v>
      </c>
      <c r="B97" s="23" t="inlineStr">
        <is>
          <t>Gomerias neumaticos gomas cubiertas</t>
        </is>
      </c>
      <c r="C97" s="13">
        <f>COUNTIF(tblComercios[Categoría],B97)</f>
        <v/>
      </c>
      <c r="D97" s="26">
        <f>IF(SUM($C$2:$C$285)=0,"",C97/SUM($C$2:$C$285))</f>
        <v/>
      </c>
    </row>
    <row r="98">
      <c r="A98" s="19" t="n">
        <v>97</v>
      </c>
      <c r="B98" s="20" t="inlineStr">
        <is>
          <t>Heladerias postres</t>
        </is>
      </c>
      <c r="C98" s="15">
        <f>COUNTIF(tblComercios[Categoría],B98)</f>
        <v/>
      </c>
      <c r="D98" s="25">
        <f>IF(SUM($C$2:$C$285)=0,"",C98/SUM($C$2:$C$285))</f>
        <v/>
      </c>
    </row>
    <row r="99">
      <c r="A99" s="22" t="n">
        <v>98</v>
      </c>
      <c r="B99" s="23" t="inlineStr">
        <is>
          <t>Panaleras</t>
        </is>
      </c>
      <c r="C99" s="13">
        <f>COUNTIF(tblComercios[Categoría],B99)</f>
        <v/>
      </c>
      <c r="D99" s="26">
        <f>IF(SUM($C$2:$C$285)=0,"",C99/SUM($C$2:$C$285))</f>
        <v/>
      </c>
    </row>
    <row r="100">
      <c r="A100" s="19" t="n">
        <v>99</v>
      </c>
      <c r="B100" s="20" t="inlineStr">
        <is>
          <t>Repuestos de motos</t>
        </is>
      </c>
      <c r="C100" s="15">
        <f>COUNTIF(tblComercios[Categoría],B100)</f>
        <v/>
      </c>
      <c r="D100" s="25">
        <f>IF(SUM($C$2:$C$285)=0,"",C100/SUM($C$2:$C$285))</f>
        <v/>
      </c>
    </row>
    <row r="101">
      <c r="A101" s="22" t="n">
        <v>100</v>
      </c>
      <c r="B101" s="23" t="inlineStr">
        <is>
          <t>Accesorios deportivos</t>
        </is>
      </c>
      <c r="C101" s="13">
        <f>COUNTIF(tblComercios[Categoría],B101)</f>
        <v/>
      </c>
      <c r="D101" s="26">
        <f>IF(SUM($C$2:$C$285)=0,"",C101/SUM($C$2:$C$285))</f>
        <v/>
      </c>
    </row>
    <row r="102">
      <c r="A102" s="19" t="n">
        <v>101</v>
      </c>
      <c r="B102" s="20" t="inlineStr">
        <is>
          <t>Accesorios para el aumomotor</t>
        </is>
      </c>
      <c r="C102" s="15">
        <f>COUNTIF(tblComercios[Categoría],B102)</f>
        <v/>
      </c>
      <c r="D102" s="25">
        <f>IF(SUM($C$2:$C$285)=0,"",C102/SUM($C$2:$C$285))</f>
        <v/>
      </c>
    </row>
    <row r="103">
      <c r="A103" s="22" t="n">
        <v>102</v>
      </c>
      <c r="B103" s="23" t="inlineStr">
        <is>
          <t>Almacen minimarket</t>
        </is>
      </c>
      <c r="C103" s="13">
        <f>COUNTIF(tblComercios[Categoría],B103)</f>
        <v/>
      </c>
      <c r="D103" s="26">
        <f>IF(SUM($C$2:$C$285)=0,"",C103/SUM($C$2:$C$285))</f>
        <v/>
      </c>
    </row>
    <row r="104">
      <c r="A104" s="19" t="n">
        <v>103</v>
      </c>
      <c r="B104" s="20" t="inlineStr">
        <is>
          <t>Articulos para el hogar bazar</t>
        </is>
      </c>
      <c r="C104" s="15">
        <f>COUNTIF(tblComercios[Categoría],B104)</f>
        <v/>
      </c>
      <c r="D104" s="25">
        <f>IF(SUM($C$2:$C$285)=0,"",C104/SUM($C$2:$C$285))</f>
        <v/>
      </c>
    </row>
    <row r="105">
      <c r="A105" s="22" t="n">
        <v>104</v>
      </c>
      <c r="B105" s="23" t="inlineStr">
        <is>
          <t>Belleza de pies y manos unas nails</t>
        </is>
      </c>
      <c r="C105" s="13">
        <f>COUNTIF(tblComercios[Categoría],B105)</f>
        <v/>
      </c>
      <c r="D105" s="26">
        <f>IF(SUM($C$2:$C$285)=0,"",C105/SUM($C$2:$C$285))</f>
        <v/>
      </c>
    </row>
    <row r="106">
      <c r="A106" s="19" t="n">
        <v>105</v>
      </c>
      <c r="B106" s="20" t="inlineStr">
        <is>
          <t>Bombas de agua riego</t>
        </is>
      </c>
      <c r="C106" s="15">
        <f>COUNTIF(tblComercios[Categoría],B106)</f>
        <v/>
      </c>
      <c r="D106" s="25">
        <f>IF(SUM($C$2:$C$285)=0,"",C106/SUM($C$2:$C$285))</f>
        <v/>
      </c>
    </row>
    <row r="107">
      <c r="A107" s="22" t="n">
        <v>106</v>
      </c>
      <c r="B107" s="23" t="inlineStr">
        <is>
          <t>Ceramicas</t>
        </is>
      </c>
      <c r="C107" s="13">
        <f>COUNTIF(tblComercios[Categoría],B107)</f>
        <v/>
      </c>
      <c r="D107" s="26">
        <f>IF(SUM($C$2:$C$285)=0,"",C107/SUM($C$2:$C$285))</f>
        <v/>
      </c>
    </row>
    <row r="108">
      <c r="A108" s="19" t="n">
        <v>107</v>
      </c>
      <c r="B108" s="20" t="inlineStr">
        <is>
          <t>Complejo turisticos</t>
        </is>
      </c>
      <c r="C108" s="15">
        <f>COUNTIF(tblComercios[Categoría],B108)</f>
        <v/>
      </c>
      <c r="D108" s="25">
        <f>IF(SUM($C$2:$C$285)=0,"",C108/SUM($C$2:$C$285))</f>
        <v/>
      </c>
    </row>
    <row r="109">
      <c r="A109" s="22" t="n">
        <v>108</v>
      </c>
      <c r="B109" s="23" t="inlineStr">
        <is>
          <t>Construccion en seco constructoras</t>
        </is>
      </c>
      <c r="C109" s="13">
        <f>COUNTIF(tblComercios[Categoría],B109)</f>
        <v/>
      </c>
      <c r="D109" s="26">
        <f>IF(SUM($C$2:$C$285)=0,"",C109/SUM($C$2:$C$285))</f>
        <v/>
      </c>
    </row>
    <row r="110">
      <c r="A110" s="19" t="n">
        <v>109</v>
      </c>
      <c r="B110" s="20" t="inlineStr">
        <is>
          <t>Constructoras</t>
        </is>
      </c>
      <c r="C110" s="15">
        <f>COUNTIF(tblComercios[Categoría],B110)</f>
        <v/>
      </c>
      <c r="D110" s="25">
        <f>IF(SUM($C$2:$C$285)=0,"",C110/SUM($C$2:$C$285))</f>
        <v/>
      </c>
    </row>
    <row r="111">
      <c r="A111" s="22" t="n">
        <v>110</v>
      </c>
      <c r="B111" s="23" t="inlineStr">
        <is>
          <t>Contactologia</t>
        </is>
      </c>
      <c r="C111" s="13">
        <f>COUNTIF(tblComercios[Categoría],B111)</f>
        <v/>
      </c>
      <c r="D111" s="26">
        <f>IF(SUM($C$2:$C$285)=0,"",C111/SUM($C$2:$C$285))</f>
        <v/>
      </c>
    </row>
    <row r="112">
      <c r="A112" s="19" t="n">
        <v>111</v>
      </c>
      <c r="B112" s="20" t="inlineStr">
        <is>
          <t>Educacion</t>
        </is>
      </c>
      <c r="C112" s="15">
        <f>COUNTIF(tblComercios[Categoría],B112)</f>
        <v/>
      </c>
      <c r="D112" s="25">
        <f>IF(SUM($C$2:$C$285)=0,"",C112/SUM($C$2:$C$285))</f>
        <v/>
      </c>
    </row>
    <row r="113">
      <c r="A113" s="22" t="n">
        <v>112</v>
      </c>
      <c r="B113" s="23" t="inlineStr">
        <is>
          <t>Frenos taller repuestos</t>
        </is>
      </c>
      <c r="C113" s="13">
        <f>COUNTIF(tblComercios[Categoría],B113)</f>
        <v/>
      </c>
      <c r="D113" s="26">
        <f>IF(SUM($C$2:$C$285)=0,"",C113/SUM($C$2:$C$285))</f>
        <v/>
      </c>
    </row>
    <row r="114">
      <c r="A114" s="19" t="n">
        <v>113</v>
      </c>
      <c r="B114" s="20" t="inlineStr">
        <is>
          <t>Maquinarias agricolas</t>
        </is>
      </c>
      <c r="C114" s="15">
        <f>COUNTIF(tblComercios[Categoría],B114)</f>
        <v/>
      </c>
      <c r="D114" s="25">
        <f>IF(SUM($C$2:$C$285)=0,"",C114/SUM($C$2:$C$285))</f>
        <v/>
      </c>
    </row>
    <row r="115">
      <c r="A115" s="22" t="n">
        <v>114</v>
      </c>
      <c r="B115" s="23" t="inlineStr">
        <is>
          <t>Ortopedias</t>
        </is>
      </c>
      <c r="C115" s="13">
        <f>COUNTIF(tblComercios[Categoría],B115)</f>
        <v/>
      </c>
      <c r="D115" s="26">
        <f>IF(SUM($C$2:$C$285)=0,"",C115/SUM($C$2:$C$285))</f>
        <v/>
      </c>
    </row>
    <row r="116">
      <c r="A116" s="19" t="n">
        <v>115</v>
      </c>
      <c r="B116" s="20" t="inlineStr">
        <is>
          <t>Otorrinolaringologia nariz garganta oido</t>
        </is>
      </c>
      <c r="C116" s="15">
        <f>COUNTIF(tblComercios[Categoría],B116)</f>
        <v/>
      </c>
      <c r="D116" s="25">
        <f>IF(SUM($C$2:$C$285)=0,"",C116/SUM($C$2:$C$285))</f>
        <v/>
      </c>
    </row>
    <row r="117">
      <c r="A117" s="22" t="n">
        <v>116</v>
      </c>
      <c r="B117" s="23" t="inlineStr">
        <is>
          <t>Pintura del automotor taller</t>
        </is>
      </c>
      <c r="C117" s="13">
        <f>COUNTIF(tblComercios[Categoría],B117)</f>
        <v/>
      </c>
      <c r="D117" s="26">
        <f>IF(SUM($C$2:$C$285)=0,"",C117/SUM($C$2:$C$285))</f>
        <v/>
      </c>
    </row>
    <row r="118">
      <c r="A118" s="19" t="n">
        <v>117</v>
      </c>
      <c r="B118" s="20" t="inlineStr">
        <is>
          <t>Terapia ocupacional terapista</t>
        </is>
      </c>
      <c r="C118" s="15">
        <f>COUNTIF(tblComercios[Categoría],B118)</f>
        <v/>
      </c>
      <c r="D118" s="25">
        <f>IF(SUM($C$2:$C$285)=0,"",C118/SUM($C$2:$C$285))</f>
        <v/>
      </c>
    </row>
    <row r="119">
      <c r="A119" s="22" t="n">
        <v>118</v>
      </c>
      <c r="B119" s="23" t="inlineStr">
        <is>
          <t>Veterinarias veterinarios</t>
        </is>
      </c>
      <c r="C119" s="13">
        <f>COUNTIF(tblComercios[Categoría],B119)</f>
        <v/>
      </c>
      <c r="D119" s="26">
        <f>IF(SUM($C$2:$C$285)=0,"",C119/SUM($C$2:$C$285))</f>
        <v/>
      </c>
    </row>
    <row r="120">
      <c r="A120" s="19" t="n">
        <v>119</v>
      </c>
      <c r="B120" s="20" t="inlineStr">
        <is>
          <t>(sin categoría)</t>
        </is>
      </c>
      <c r="C120" s="15">
        <f>COUNTIF(tblComercios[Categoría],B120)</f>
        <v/>
      </c>
      <c r="D120" s="25">
        <f>IF(SUM($C$2:$C$285)=0,"",C120/SUM($C$2:$C$285))</f>
        <v/>
      </c>
    </row>
    <row r="121">
      <c r="A121" s="22" t="n">
        <v>120</v>
      </c>
      <c r="B121" s="23" t="inlineStr">
        <is>
          <t>Agrimensores agrimensura estudios tecnicos</t>
        </is>
      </c>
      <c r="C121" s="13">
        <f>COUNTIF(tblComercios[Categoría],B121)</f>
        <v/>
      </c>
      <c r="D121" s="26">
        <f>IF(SUM($C$2:$C$285)=0,"",C121/SUM($C$2:$C$285))</f>
        <v/>
      </c>
    </row>
    <row r="122">
      <c r="A122" s="19" t="n">
        <v>121</v>
      </c>
      <c r="B122" s="20" t="inlineStr">
        <is>
          <t>Agroquimicos</t>
        </is>
      </c>
      <c r="C122" s="15">
        <f>COUNTIF(tblComercios[Categoría],B122)</f>
        <v/>
      </c>
      <c r="D122" s="25">
        <f>IF(SUM($C$2:$C$285)=0,"",C122/SUM($C$2:$C$285))</f>
        <v/>
      </c>
    </row>
    <row r="123">
      <c r="A123" s="22" t="n">
        <v>122</v>
      </c>
      <c r="B123" s="23" t="inlineStr">
        <is>
          <t>Agroveterinaria</t>
        </is>
      </c>
      <c r="C123" s="13">
        <f>COUNTIF(tblComercios[Categoría],B123)</f>
        <v/>
      </c>
      <c r="D123" s="26">
        <f>IF(SUM($C$2:$C$285)=0,"",C123/SUM($C$2:$C$285))</f>
        <v/>
      </c>
    </row>
    <row r="124">
      <c r="A124" s="19" t="n">
        <v>123</v>
      </c>
      <c r="B124" s="20" t="inlineStr">
        <is>
          <t>Alquiler de disfraces</t>
        </is>
      </c>
      <c r="C124" s="15">
        <f>COUNTIF(tblComercios[Categoría],B124)</f>
        <v/>
      </c>
      <c r="D124" s="25">
        <f>IF(SUM($C$2:$C$285)=0,"",C124/SUM($C$2:$C$285))</f>
        <v/>
      </c>
    </row>
    <row r="125">
      <c r="A125" s="22" t="n">
        <v>124</v>
      </c>
      <c r="B125" s="23" t="inlineStr">
        <is>
          <t>Aridos canteras</t>
        </is>
      </c>
      <c r="C125" s="13">
        <f>COUNTIF(tblComercios[Categoría],B125)</f>
        <v/>
      </c>
      <c r="D125" s="26">
        <f>IF(SUM($C$2:$C$285)=0,"",C125/SUM($C$2:$C$285))</f>
        <v/>
      </c>
    </row>
    <row r="126">
      <c r="A126" s="19" t="n">
        <v>125</v>
      </c>
      <c r="B126" s="20" t="inlineStr">
        <is>
          <t>Arquitetos arquitectura estudios tecnicos arquitecta</t>
        </is>
      </c>
      <c r="C126" s="15">
        <f>COUNTIF(tblComercios[Categoría],B126)</f>
        <v/>
      </c>
      <c r="D126" s="25">
        <f>IF(SUM($C$2:$C$285)=0,"",C126/SUM($C$2:$C$285))</f>
        <v/>
      </c>
    </row>
    <row r="127">
      <c r="A127" s="22" t="n">
        <v>126</v>
      </c>
      <c r="B127" s="23" t="inlineStr">
        <is>
          <t>Atmosfericos desagotes pozos septicos perforaciones</t>
        </is>
      </c>
      <c r="C127" s="13">
        <f>COUNTIF(tblComercios[Categoría],B127)</f>
        <v/>
      </c>
      <c r="D127" s="26">
        <f>IF(SUM($C$2:$C$285)=0,"",C127/SUM($C$2:$C$285))</f>
        <v/>
      </c>
    </row>
    <row r="128">
      <c r="A128" s="19" t="n">
        <v>127</v>
      </c>
      <c r="B128" s="20" t="inlineStr">
        <is>
          <t>Bares cocteleria</t>
        </is>
      </c>
      <c r="C128" s="15">
        <f>COUNTIF(tblComercios[Categoría],B128)</f>
        <v/>
      </c>
      <c r="D128" s="25">
        <f>IF(SUM($C$2:$C$285)=0,"",C128/SUM($C$2:$C$285))</f>
        <v/>
      </c>
    </row>
    <row r="129">
      <c r="A129" s="22" t="n">
        <v>128</v>
      </c>
      <c r="B129" s="23" t="inlineStr">
        <is>
          <t>Bordados</t>
        </is>
      </c>
      <c r="C129" s="13">
        <f>COUNTIF(tblComercios[Categoría],B129)</f>
        <v/>
      </c>
      <c r="D129" s="26">
        <f>IF(SUM($C$2:$C$285)=0,"",C129/SUM($C$2:$C$285))</f>
        <v/>
      </c>
    </row>
    <row r="130">
      <c r="A130" s="19" t="n">
        <v>129</v>
      </c>
      <c r="B130" s="20" t="inlineStr">
        <is>
          <t>Chocolateria</t>
        </is>
      </c>
      <c r="C130" s="15">
        <f>COUNTIF(tblComercios[Categoría],B130)</f>
        <v/>
      </c>
      <c r="D130" s="25">
        <f>IF(SUM($C$2:$C$285)=0,"",C130/SUM($C$2:$C$285))</f>
        <v/>
      </c>
    </row>
    <row r="131">
      <c r="A131" s="22" t="n">
        <v>130</v>
      </c>
      <c r="B131" s="23" t="inlineStr">
        <is>
          <t>Cirugia infantil cirujano cirujana</t>
        </is>
      </c>
      <c r="C131" s="13">
        <f>COUNTIF(tblComercios[Categoría],B131)</f>
        <v/>
      </c>
      <c r="D131" s="26">
        <f>IF(SUM($C$2:$C$285)=0,"",C131/SUM($C$2:$C$285))</f>
        <v/>
      </c>
    </row>
    <row r="132">
      <c r="A132" s="19" t="n">
        <v>131</v>
      </c>
      <c r="B132" s="20" t="inlineStr">
        <is>
          <t>Corte y plegado de chapas</t>
        </is>
      </c>
      <c r="C132" s="15">
        <f>COUNTIF(tblComercios[Categoría],B132)</f>
        <v/>
      </c>
      <c r="D132" s="25">
        <f>IF(SUM($C$2:$C$285)=0,"",C132/SUM($C$2:$C$285))</f>
        <v/>
      </c>
    </row>
    <row r="133">
      <c r="A133" s="22" t="n">
        <v>132</v>
      </c>
      <c r="B133" s="23" t="inlineStr">
        <is>
          <t>Decoracion</t>
        </is>
      </c>
      <c r="C133" s="13">
        <f>COUNTIF(tblComercios[Categoría],B133)</f>
        <v/>
      </c>
      <c r="D133" s="26">
        <f>IF(SUM($C$2:$C$285)=0,"",C133/SUM($C$2:$C$285))</f>
        <v/>
      </c>
    </row>
    <row r="134">
      <c r="A134" s="19" t="n">
        <v>133</v>
      </c>
      <c r="B134" s="20" t="inlineStr">
        <is>
          <t>Departamentos turisticos alquiler</t>
        </is>
      </c>
      <c r="C134" s="15">
        <f>COUNTIF(tblComercios[Categoría],B134)</f>
        <v/>
      </c>
      <c r="D134" s="25">
        <f>IF(SUM($C$2:$C$285)=0,"",C134/SUM($C$2:$C$285))</f>
        <v/>
      </c>
    </row>
    <row r="135">
      <c r="A135" s="22" t="n">
        <v>134</v>
      </c>
      <c r="B135" s="23" t="inlineStr">
        <is>
          <t>Dermatologia</t>
        </is>
      </c>
      <c r="C135" s="13">
        <f>COUNTIF(tblComercios[Categoría],B135)</f>
        <v/>
      </c>
      <c r="D135" s="26">
        <f>IF(SUM($C$2:$C$285)=0,"",C135/SUM($C$2:$C$285))</f>
        <v/>
      </c>
    </row>
    <row r="136">
      <c r="A136" s="19" t="n">
        <v>135</v>
      </c>
      <c r="B136" s="20" t="inlineStr">
        <is>
          <t>Destacados</t>
        </is>
      </c>
      <c r="C136" s="15">
        <f>COUNTIF(tblComercios[Categoría],B136)</f>
        <v/>
      </c>
      <c r="D136" s="25">
        <f>IF(SUM($C$2:$C$285)=0,"",C136/SUM($C$2:$C$285))</f>
        <v/>
      </c>
    </row>
    <row r="137">
      <c r="A137" s="22" t="n">
        <v>136</v>
      </c>
      <c r="B137" s="23" t="inlineStr">
        <is>
          <t>Electrodomesticos repuestos</t>
        </is>
      </c>
      <c r="C137" s="13">
        <f>COUNTIF(tblComercios[Categoría],B137)</f>
        <v/>
      </c>
      <c r="D137" s="26">
        <f>IF(SUM($C$2:$C$285)=0,"",C137/SUM($C$2:$C$285))</f>
        <v/>
      </c>
    </row>
    <row r="138">
      <c r="A138" s="19" t="n">
        <v>137</v>
      </c>
      <c r="B138" s="20" t="inlineStr">
        <is>
          <t>Empresas de servicio</t>
        </is>
      </c>
      <c r="C138" s="15">
        <f>COUNTIF(tblComercios[Categoría],B138)</f>
        <v/>
      </c>
      <c r="D138" s="25">
        <f>IF(SUM($C$2:$C$285)=0,"",C138/SUM($C$2:$C$285))</f>
        <v/>
      </c>
    </row>
    <row r="139">
      <c r="A139" s="22" t="n">
        <v>138</v>
      </c>
      <c r="B139" s="23" t="inlineStr">
        <is>
          <t>Endodoncia</t>
        </is>
      </c>
      <c r="C139" s="13">
        <f>COUNTIF(tblComercios[Categoría],B139)</f>
        <v/>
      </c>
      <c r="D139" s="26">
        <f>IF(SUM($C$2:$C$285)=0,"",C139/SUM($C$2:$C$285))</f>
        <v/>
      </c>
    </row>
    <row r="140">
      <c r="A140" s="19" t="n">
        <v>139</v>
      </c>
      <c r="B140" s="20" t="inlineStr">
        <is>
          <t>Eventos</t>
        </is>
      </c>
      <c r="C140" s="15">
        <f>COUNTIF(tblComercios[Categoría],B140)</f>
        <v/>
      </c>
      <c r="D140" s="25">
        <f>IF(SUM($C$2:$C$285)=0,"",C140/SUM($C$2:$C$285))</f>
        <v/>
      </c>
    </row>
    <row r="141">
      <c r="A141" s="22" t="n">
        <v>140</v>
      </c>
      <c r="B141" s="23" t="inlineStr">
        <is>
          <t>Fotocopiadoras servicio tecnico informatica electronica</t>
        </is>
      </c>
      <c r="C141" s="13">
        <f>COUNTIF(tblComercios[Categoría],B141)</f>
        <v/>
      </c>
      <c r="D141" s="26">
        <f>IF(SUM($C$2:$C$285)=0,"",C141/SUM($C$2:$C$285))</f>
        <v/>
      </c>
    </row>
    <row r="142">
      <c r="A142" s="19" t="n">
        <v>141</v>
      </c>
      <c r="B142" s="20" t="inlineStr">
        <is>
          <t>Hematologia</t>
        </is>
      </c>
      <c r="C142" s="15">
        <f>COUNTIF(tblComercios[Categoría],B142)</f>
        <v/>
      </c>
      <c r="D142" s="25">
        <f>IF(SUM($C$2:$C$285)=0,"",C142/SUM($C$2:$C$285))</f>
        <v/>
      </c>
    </row>
    <row r="143">
      <c r="A143" s="22" t="n">
        <v>142</v>
      </c>
      <c r="B143" s="23" t="inlineStr">
        <is>
          <t>Herramientas</t>
        </is>
      </c>
      <c r="C143" s="13">
        <f>COUNTIF(tblComercios[Categoría],B143)</f>
        <v/>
      </c>
      <c r="D143" s="26">
        <f>IF(SUM($C$2:$C$285)=0,"",C143/SUM($C$2:$C$285))</f>
        <v/>
      </c>
    </row>
    <row r="144">
      <c r="A144" s="19" t="n">
        <v>143</v>
      </c>
      <c r="B144" s="20" t="inlineStr">
        <is>
          <t>Institutos medicos consultorios medicos</t>
        </is>
      </c>
      <c r="C144" s="15">
        <f>COUNTIF(tblComercios[Categoría],B144)</f>
        <v/>
      </c>
      <c r="D144" s="25">
        <f>IF(SUM($C$2:$C$285)=0,"",C144/SUM($C$2:$C$285))</f>
        <v/>
      </c>
    </row>
    <row r="145">
      <c r="A145" s="22" t="n">
        <v>144</v>
      </c>
      <c r="B145" s="23" t="inlineStr">
        <is>
          <t>Inyeccion electronica</t>
        </is>
      </c>
      <c r="C145" s="13">
        <f>COUNTIF(tblComercios[Categoría],B145)</f>
        <v/>
      </c>
      <c r="D145" s="26">
        <f>IF(SUM($C$2:$C$285)=0,"",C145/SUM($C$2:$C$285))</f>
        <v/>
      </c>
    </row>
    <row r="146">
      <c r="A146" s="19" t="n">
        <v>145</v>
      </c>
      <c r="B146" s="20" t="inlineStr">
        <is>
          <t>Jugueterias regaleria</t>
        </is>
      </c>
      <c r="C146" s="15">
        <f>COUNTIF(tblComercios[Categoría],B146)</f>
        <v/>
      </c>
      <c r="D146" s="25">
        <f>IF(SUM($C$2:$C$285)=0,"",C146/SUM($C$2:$C$285))</f>
        <v/>
      </c>
    </row>
    <row r="147">
      <c r="A147" s="22" t="n">
        <v>146</v>
      </c>
      <c r="B147" s="23" t="inlineStr">
        <is>
          <t>Licoreria tienda de bebidas</t>
        </is>
      </c>
      <c r="C147" s="13">
        <f>COUNTIF(tblComercios[Categoría],B147)</f>
        <v/>
      </c>
      <c r="D147" s="26">
        <f>IF(SUM($C$2:$C$285)=0,"",C147/SUM($C$2:$C$285))</f>
        <v/>
      </c>
    </row>
    <row r="148">
      <c r="A148" s="19" t="n">
        <v>147</v>
      </c>
      <c r="B148" s="20" t="inlineStr">
        <is>
          <t>Medicina legal</t>
        </is>
      </c>
      <c r="C148" s="15">
        <f>COUNTIF(tblComercios[Categoría],B148)</f>
        <v/>
      </c>
      <c r="D148" s="25">
        <f>IF(SUM($C$2:$C$285)=0,"",C148/SUM($C$2:$C$285))</f>
        <v/>
      </c>
    </row>
    <row r="149">
      <c r="A149" s="22" t="n">
        <v>148</v>
      </c>
      <c r="B149" s="23" t="inlineStr">
        <is>
          <t>Oncologia</t>
        </is>
      </c>
      <c r="C149" s="13">
        <f>COUNTIF(tblComercios[Categoría],B149)</f>
        <v/>
      </c>
      <c r="D149" s="26">
        <f>IF(SUM($C$2:$C$285)=0,"",C149/SUM($C$2:$C$285))</f>
        <v/>
      </c>
    </row>
    <row r="150">
      <c r="A150" s="19" t="n">
        <v>149</v>
      </c>
      <c r="B150" s="20" t="inlineStr">
        <is>
          <t>Protesistas protesis</t>
        </is>
      </c>
      <c r="C150" s="15">
        <f>COUNTIF(tblComercios[Categoría],B150)</f>
        <v/>
      </c>
      <c r="D150" s="25">
        <f>IF(SUM($C$2:$C$285)=0,"",C150/SUM($C$2:$C$285))</f>
        <v/>
      </c>
    </row>
    <row r="151">
      <c r="A151" s="22" t="n">
        <v>150</v>
      </c>
      <c r="B151" s="23" t="inlineStr">
        <is>
          <t>Regionales regaleria</t>
        </is>
      </c>
      <c r="C151" s="13">
        <f>COUNTIF(tblComercios[Categoría],B151)</f>
        <v/>
      </c>
      <c r="D151" s="26">
        <f>IF(SUM($C$2:$C$285)=0,"",C151/SUM($C$2:$C$285))</f>
        <v/>
      </c>
    </row>
    <row r="152">
      <c r="A152" s="19" t="n">
        <v>151</v>
      </c>
      <c r="B152" s="20" t="inlineStr">
        <is>
          <t>Tienda holistica</t>
        </is>
      </c>
      <c r="C152" s="15">
        <f>COUNTIF(tblComercios[Categoría],B152)</f>
        <v/>
      </c>
      <c r="D152" s="25">
        <f>IF(SUM($C$2:$C$285)=0,"",C152/SUM($C$2:$C$285))</f>
        <v/>
      </c>
    </row>
    <row r="153">
      <c r="A153" s="22" t="n">
        <v>152</v>
      </c>
      <c r="B153" s="23" t="inlineStr">
        <is>
          <t>Verdulerias</t>
        </is>
      </c>
      <c r="C153" s="13">
        <f>COUNTIF(tblComercios[Categoría],B153)</f>
        <v/>
      </c>
      <c r="D153" s="26">
        <f>IF(SUM($C$2:$C$285)=0,"",C153/SUM($C$2:$C$285))</f>
        <v/>
      </c>
    </row>
    <row r="154">
      <c r="A154" s="19" t="n">
        <v>153</v>
      </c>
      <c r="B154" s="20" t="inlineStr">
        <is>
          <t>Accesorios de competicion</t>
        </is>
      </c>
      <c r="C154" s="15">
        <f>COUNTIF(tblComercios[Categoría],B154)</f>
        <v/>
      </c>
      <c r="D154" s="25">
        <f>IF(SUM($C$2:$C$285)=0,"",C154/SUM($C$2:$C$285))</f>
        <v/>
      </c>
    </row>
    <row r="155">
      <c r="A155" s="22" t="n">
        <v>154</v>
      </c>
      <c r="B155" s="23" t="inlineStr">
        <is>
          <t>Accesorios para piscinas</t>
        </is>
      </c>
      <c r="C155" s="13">
        <f>COUNTIF(tblComercios[Categoría],B155)</f>
        <v/>
      </c>
      <c r="D155" s="26">
        <f>IF(SUM($C$2:$C$285)=0,"",C155/SUM($C$2:$C$285))</f>
        <v/>
      </c>
    </row>
    <row r="156">
      <c r="A156" s="19" t="n">
        <v>155</v>
      </c>
      <c r="B156" s="20" t="inlineStr">
        <is>
          <t>Agua distribuidoras</t>
        </is>
      </c>
      <c r="C156" s="15">
        <f>COUNTIF(tblComercios[Categoría],B156)</f>
        <v/>
      </c>
      <c r="D156" s="25">
        <f>IF(SUM($C$2:$C$285)=0,"",C156/SUM($C$2:$C$285))</f>
        <v/>
      </c>
    </row>
    <row r="157">
      <c r="A157" s="22" t="n">
        <v>156</v>
      </c>
      <c r="B157" s="23" t="inlineStr">
        <is>
          <t>Almacen de vinos</t>
        </is>
      </c>
      <c r="C157" s="13">
        <f>COUNTIF(tblComercios[Categoría],B157)</f>
        <v/>
      </c>
      <c r="D157" s="26">
        <f>IF(SUM($C$2:$C$285)=0,"",C157/SUM($C$2:$C$285))</f>
        <v/>
      </c>
    </row>
    <row r="158">
      <c r="A158" s="19" t="n">
        <v>157</v>
      </c>
      <c r="B158" s="20" t="inlineStr">
        <is>
          <t>Almacen de yerbamate</t>
        </is>
      </c>
      <c r="C158" s="15">
        <f>COUNTIF(tblComercios[Categoría],B158)</f>
        <v/>
      </c>
      <c r="D158" s="25">
        <f>IF(SUM($C$2:$C$285)=0,"",C158/SUM($C$2:$C$285))</f>
        <v/>
      </c>
    </row>
    <row r="159">
      <c r="A159" s="22" t="n">
        <v>158</v>
      </c>
      <c r="B159" s="23" t="inlineStr">
        <is>
          <t>Alquiler de autos</t>
        </is>
      </c>
      <c r="C159" s="13">
        <f>COUNTIF(tblComercios[Categoría],B159)</f>
        <v/>
      </c>
      <c r="D159" s="26">
        <f>IF(SUM($C$2:$C$285)=0,"",C159/SUM($C$2:$C$285))</f>
        <v/>
      </c>
    </row>
    <row r="160">
      <c r="A160" s="19" t="n">
        <v>159</v>
      </c>
      <c r="B160" s="20" t="inlineStr">
        <is>
          <t>Alquiler de bicicletas</t>
        </is>
      </c>
      <c r="C160" s="15">
        <f>COUNTIF(tblComercios[Categoría],B160)</f>
        <v/>
      </c>
      <c r="D160" s="25">
        <f>IF(SUM($C$2:$C$285)=0,"",C160/SUM($C$2:$C$285))</f>
        <v/>
      </c>
    </row>
    <row r="161">
      <c r="A161" s="22" t="n">
        <v>160</v>
      </c>
      <c r="B161" s="23" t="inlineStr">
        <is>
          <t>Articulos de camping</t>
        </is>
      </c>
      <c r="C161" s="13">
        <f>COUNTIF(tblComercios[Categoría],B161)</f>
        <v/>
      </c>
      <c r="D161" s="26">
        <f>IF(SUM($C$2:$C$285)=0,"",C161/SUM($C$2:$C$285))</f>
        <v/>
      </c>
    </row>
    <row r="162">
      <c r="A162" s="19" t="n">
        <v>161</v>
      </c>
      <c r="B162" s="20" t="inlineStr">
        <is>
          <t>Artistica</t>
        </is>
      </c>
      <c r="C162" s="15">
        <f>COUNTIF(tblComercios[Categoría],B162)</f>
        <v/>
      </c>
      <c r="D162" s="25">
        <f>IF(SUM($C$2:$C$285)=0,"",C162/SUM($C$2:$C$285))</f>
        <v/>
      </c>
    </row>
    <row r="163">
      <c r="A163" s="22" t="n">
        <v>162</v>
      </c>
      <c r="B163" s="23" t="inlineStr">
        <is>
          <t>Automatizaciones</t>
        </is>
      </c>
      <c r="C163" s="13">
        <f>COUNTIF(tblComercios[Categoría],B163)</f>
        <v/>
      </c>
      <c r="D163" s="26">
        <f>IF(SUM($C$2:$C$285)=0,"",C163/SUM($C$2:$C$285))</f>
        <v/>
      </c>
    </row>
    <row r="164">
      <c r="A164" s="19" t="n">
        <v>163</v>
      </c>
      <c r="B164" s="20" t="inlineStr">
        <is>
          <t>Auxiliar en kinesiologia</t>
        </is>
      </c>
      <c r="C164" s="15">
        <f>COUNTIF(tblComercios[Categoría],B164)</f>
        <v/>
      </c>
      <c r="D164" s="25">
        <f>IF(SUM($C$2:$C$285)=0,"",C164/SUM($C$2:$C$285))</f>
        <v/>
      </c>
    </row>
    <row r="165">
      <c r="A165" s="22" t="n">
        <v>164</v>
      </c>
      <c r="B165" s="23" t="inlineStr">
        <is>
          <t>Auxilio mecanico gruas</t>
        </is>
      </c>
      <c r="C165" s="13">
        <f>COUNTIF(tblComercios[Categoría],B165)</f>
        <v/>
      </c>
      <c r="D165" s="26">
        <f>IF(SUM($C$2:$C$285)=0,"",C165/SUM($C$2:$C$285))</f>
        <v/>
      </c>
    </row>
    <row r="166">
      <c r="A166" s="19" t="n">
        <v>165</v>
      </c>
      <c r="B166" s="20" t="inlineStr">
        <is>
          <t>Camping</t>
        </is>
      </c>
      <c r="C166" s="15">
        <f>COUNTIF(tblComercios[Categoría],B166)</f>
        <v/>
      </c>
      <c r="D166" s="25">
        <f>IF(SUM($C$2:$C$285)=0,"",C166/SUM($C$2:$C$285))</f>
        <v/>
      </c>
    </row>
    <row r="167">
      <c r="A167" s="22" t="n">
        <v>166</v>
      </c>
      <c r="B167" s="23" t="inlineStr">
        <is>
          <t>Catering empresas gastronomicas</t>
        </is>
      </c>
      <c r="C167" s="13">
        <f>COUNTIF(tblComercios[Categoría],B167)</f>
        <v/>
      </c>
      <c r="D167" s="26">
        <f>IF(SUM($C$2:$C$285)=0,"",C167/SUM($C$2:$C$285))</f>
        <v/>
      </c>
    </row>
    <row r="168">
      <c r="A168" s="19" t="n">
        <v>167</v>
      </c>
      <c r="B168" s="20" t="inlineStr">
        <is>
          <t>Cirugia estetica</t>
        </is>
      </c>
      <c r="C168" s="15">
        <f>COUNTIF(tblComercios[Categoría],B168)</f>
        <v/>
      </c>
      <c r="D168" s="25">
        <f>IF(SUM($C$2:$C$285)=0,"",C168/SUM($C$2:$C$285))</f>
        <v/>
      </c>
    </row>
    <row r="169">
      <c r="A169" s="22" t="n">
        <v>168</v>
      </c>
      <c r="B169" s="23" t="inlineStr">
        <is>
          <t>Cirugia oncologica</t>
        </is>
      </c>
      <c r="C169" s="13">
        <f>COUNTIF(tblComercios[Categoría],B169)</f>
        <v/>
      </c>
      <c r="D169" s="26">
        <f>IF(SUM($C$2:$C$285)=0,"",C169/SUM($C$2:$C$285))</f>
        <v/>
      </c>
    </row>
    <row r="170">
      <c r="A170" s="19" t="n">
        <v>169</v>
      </c>
      <c r="B170" s="20" t="inlineStr">
        <is>
          <t>Cirugia plastica cirujano cirujana</t>
        </is>
      </c>
      <c r="C170" s="15">
        <f>COUNTIF(tblComercios[Categoría],B170)</f>
        <v/>
      </c>
      <c r="D170" s="25">
        <f>IF(SUM($C$2:$C$285)=0,"",C170/SUM($C$2:$C$285))</f>
        <v/>
      </c>
    </row>
    <row r="171">
      <c r="A171" s="22" t="n">
        <v>170</v>
      </c>
      <c r="B171" s="23" t="inlineStr">
        <is>
          <t>Corredor publico inmobiliario</t>
        </is>
      </c>
      <c r="C171" s="13">
        <f>COUNTIF(tblComercios[Categoría],B171)</f>
        <v/>
      </c>
      <c r="D171" s="26">
        <f>IF(SUM($C$2:$C$285)=0,"",C171/SUM($C$2:$C$285))</f>
        <v/>
      </c>
    </row>
    <row r="172">
      <c r="A172" s="19" t="n">
        <v>171</v>
      </c>
      <c r="B172" s="20" t="inlineStr">
        <is>
          <t>Cremaciones salas velatorias</t>
        </is>
      </c>
      <c r="C172" s="15">
        <f>COUNTIF(tblComercios[Categoría],B172)</f>
        <v/>
      </c>
      <c r="D172" s="25">
        <f>IF(SUM($C$2:$C$285)=0,"",C172/SUM($C$2:$C$285))</f>
        <v/>
      </c>
    </row>
    <row r="173">
      <c r="A173" s="22" t="n">
        <v>172</v>
      </c>
      <c r="B173" s="23" t="inlineStr">
        <is>
          <t>Electricidad de motos</t>
        </is>
      </c>
      <c r="C173" s="13">
        <f>COUNTIF(tblComercios[Categoría],B173)</f>
        <v/>
      </c>
      <c r="D173" s="26">
        <f>IF(SUM($C$2:$C$285)=0,"",C173/SUM($C$2:$C$285))</f>
        <v/>
      </c>
    </row>
    <row r="174">
      <c r="A174" s="19" t="n">
        <v>173</v>
      </c>
      <c r="B174" s="20" t="inlineStr">
        <is>
          <t>Estudios tecnicos arquitectura ingieneria</t>
        </is>
      </c>
      <c r="C174" s="15">
        <f>COUNTIF(tblComercios[Categoría],B174)</f>
        <v/>
      </c>
      <c r="D174" s="25">
        <f>IF(SUM($C$2:$C$285)=0,"",C174/SUM($C$2:$C$285))</f>
        <v/>
      </c>
    </row>
    <row r="175">
      <c r="A175" s="22" t="n">
        <v>174</v>
      </c>
      <c r="B175" s="23" t="inlineStr">
        <is>
          <t>Expresos transporte encomiendas</t>
        </is>
      </c>
      <c r="C175" s="13">
        <f>COUNTIF(tblComercios[Categoría],B175)</f>
        <v/>
      </c>
      <c r="D175" s="26">
        <f>IF(SUM($C$2:$C$285)=0,"",C175/SUM($C$2:$C$285))</f>
        <v/>
      </c>
    </row>
    <row r="176">
      <c r="A176" s="19" t="n">
        <v>175</v>
      </c>
      <c r="B176" s="20" t="inlineStr">
        <is>
          <t>Fabrica de tortas reposteria</t>
        </is>
      </c>
      <c r="C176" s="15">
        <f>COUNTIF(tblComercios[Categoría],B176)</f>
        <v/>
      </c>
      <c r="D176" s="25">
        <f>IF(SUM($C$2:$C$285)=0,"",C176/SUM($C$2:$C$285))</f>
        <v/>
      </c>
    </row>
    <row r="177">
      <c r="A177" s="22" t="n">
        <v>176</v>
      </c>
      <c r="B177" s="23" t="inlineStr">
        <is>
          <t>Ferreteria industrial</t>
        </is>
      </c>
      <c r="C177" s="13">
        <f>COUNTIF(tblComercios[Categoría],B177)</f>
        <v/>
      </c>
      <c r="D177" s="26">
        <f>IF(SUM($C$2:$C$285)=0,"",C177/SUM($C$2:$C$285))</f>
        <v/>
      </c>
    </row>
    <row r="178">
      <c r="A178" s="19" t="n">
        <v>177</v>
      </c>
      <c r="B178" s="20" t="inlineStr">
        <is>
          <t>Grafologia grafoterapia grafologa</t>
        </is>
      </c>
      <c r="C178" s="15">
        <f>COUNTIF(tblComercios[Categoría],B178)</f>
        <v/>
      </c>
      <c r="D178" s="25">
        <f>IF(SUM($C$2:$C$285)=0,"",C178/SUM($C$2:$C$285))</f>
        <v/>
      </c>
    </row>
    <row r="179">
      <c r="A179" s="22" t="n">
        <v>178</v>
      </c>
      <c r="B179" s="23" t="inlineStr">
        <is>
          <t>Griferia sanitarios</t>
        </is>
      </c>
      <c r="C179" s="13">
        <f>COUNTIF(tblComercios[Categoría],B179)</f>
        <v/>
      </c>
      <c r="D179" s="26">
        <f>IF(SUM($C$2:$C$285)=0,"",C179/SUM($C$2:$C$285))</f>
        <v/>
      </c>
    </row>
    <row r="180">
      <c r="A180" s="19" t="n">
        <v>179</v>
      </c>
      <c r="B180" s="20" t="inlineStr">
        <is>
          <t>Inmobiliarias alquileres lotes corredor publico inmobiliario administraciones</t>
        </is>
      </c>
      <c r="C180" s="15">
        <f>COUNTIF(tblComercios[Categoría],B180)</f>
        <v/>
      </c>
      <c r="D180" s="25">
        <f>IF(SUM($C$2:$C$285)=0,"",C180/SUM($C$2:$C$285))</f>
        <v/>
      </c>
    </row>
    <row r="181">
      <c r="A181" s="22" t="n">
        <v>180</v>
      </c>
      <c r="B181" s="23" t="inlineStr">
        <is>
          <t>Insumos para estetica</t>
        </is>
      </c>
      <c r="C181" s="13">
        <f>COUNTIF(tblComercios[Categoría],B181)</f>
        <v/>
      </c>
      <c r="D181" s="26">
        <f>IF(SUM($C$2:$C$285)=0,"",C181/SUM($C$2:$C$285))</f>
        <v/>
      </c>
    </row>
    <row r="182">
      <c r="A182" s="19" t="n">
        <v>181</v>
      </c>
      <c r="B182" s="20" t="inlineStr">
        <is>
          <t>Jardineria</t>
        </is>
      </c>
      <c r="C182" s="15">
        <f>COUNTIF(tblComercios[Categoría],B182)</f>
        <v/>
      </c>
      <c r="D182" s="25">
        <f>IF(SUM($C$2:$C$285)=0,"",C182/SUM($C$2:$C$285))</f>
        <v/>
      </c>
    </row>
    <row r="183">
      <c r="A183" s="22" t="n">
        <v>182</v>
      </c>
      <c r="B183" s="23" t="inlineStr">
        <is>
          <t>Lavanderias</t>
        </is>
      </c>
      <c r="C183" s="13">
        <f>COUNTIF(tblComercios[Categoría],B183)</f>
        <v/>
      </c>
      <c r="D183" s="26">
        <f>IF(SUM($C$2:$C$285)=0,"",C183/SUM($C$2:$C$285))</f>
        <v/>
      </c>
    </row>
    <row r="184">
      <c r="A184" s="19" t="n">
        <v>183</v>
      </c>
      <c r="B184" s="20" t="inlineStr">
        <is>
          <t>Matafuegos</t>
        </is>
      </c>
      <c r="C184" s="15">
        <f>COUNTIF(tblComercios[Categoría],B184)</f>
        <v/>
      </c>
      <c r="D184" s="25">
        <f>IF(SUM($C$2:$C$285)=0,"",C184/SUM($C$2:$C$285))</f>
        <v/>
      </c>
    </row>
    <row r="185">
      <c r="A185" s="22" t="n">
        <v>184</v>
      </c>
      <c r="B185" s="23" t="inlineStr">
        <is>
          <t>Materiales de construccion</t>
        </is>
      </c>
      <c r="C185" s="13">
        <f>COUNTIF(tblComercios[Categoría],B185)</f>
        <v/>
      </c>
      <c r="D185" s="26">
        <f>IF(SUM($C$2:$C$285)=0,"",C185/SUM($C$2:$C$285))</f>
        <v/>
      </c>
    </row>
    <row r="186">
      <c r="A186" s="19" t="n">
        <v>185</v>
      </c>
      <c r="B186" s="20" t="inlineStr">
        <is>
          <t>Medicina de familia</t>
        </is>
      </c>
      <c r="C186" s="15">
        <f>COUNTIF(tblComercios[Categoría],B186)</f>
        <v/>
      </c>
      <c r="D186" s="25">
        <f>IF(SUM($C$2:$C$285)=0,"",C186/SUM($C$2:$C$285))</f>
        <v/>
      </c>
    </row>
    <row r="187">
      <c r="A187" s="22" t="n">
        <v>186</v>
      </c>
      <c r="B187" s="23" t="inlineStr">
        <is>
          <t>Medicina laboral</t>
        </is>
      </c>
      <c r="C187" s="13">
        <f>COUNTIF(tblComercios[Categoría],B187)</f>
        <v/>
      </c>
      <c r="D187" s="26">
        <f>IF(SUM($C$2:$C$285)=0,"",C187/SUM($C$2:$C$285))</f>
        <v/>
      </c>
    </row>
    <row r="188">
      <c r="A188" s="19" t="n">
        <v>187</v>
      </c>
      <c r="B188" s="20" t="inlineStr">
        <is>
          <t>Mercerias</t>
        </is>
      </c>
      <c r="C188" s="15">
        <f>COUNTIF(tblComercios[Categoría],B188)</f>
        <v/>
      </c>
      <c r="D188" s="25">
        <f>IF(SUM($C$2:$C$285)=0,"",C188/SUM($C$2:$C$285))</f>
        <v/>
      </c>
    </row>
    <row r="189">
      <c r="A189" s="22" t="n">
        <v>188</v>
      </c>
      <c r="B189" s="23" t="inlineStr">
        <is>
          <t>Metalurgicas</t>
        </is>
      </c>
      <c r="C189" s="13">
        <f>COUNTIF(tblComercios[Categoría],B189)</f>
        <v/>
      </c>
      <c r="D189" s="26">
        <f>IF(SUM($C$2:$C$285)=0,"",C189/SUM($C$2:$C$285))</f>
        <v/>
      </c>
    </row>
    <row r="190">
      <c r="A190" s="19" t="n">
        <v>189</v>
      </c>
      <c r="B190" s="20" t="inlineStr">
        <is>
          <t>Neumaticos gomerias</t>
        </is>
      </c>
      <c r="C190" s="15">
        <f>COUNTIF(tblComercios[Categoría],B190)</f>
        <v/>
      </c>
      <c r="D190" s="25">
        <f>IF(SUM($C$2:$C$285)=0,"",C190/SUM($C$2:$C$285))</f>
        <v/>
      </c>
    </row>
    <row r="191">
      <c r="A191" s="22" t="n">
        <v>190</v>
      </c>
      <c r="B191" s="23" t="inlineStr">
        <is>
          <t>Neurocirugia neurocirujano infantil</t>
        </is>
      </c>
      <c r="C191" s="13">
        <f>COUNTIF(tblComercios[Categoría],B191)</f>
        <v/>
      </c>
      <c r="D191" s="26">
        <f>IF(SUM($C$2:$C$285)=0,"",C191/SUM($C$2:$C$285))</f>
        <v/>
      </c>
    </row>
    <row r="192">
      <c r="A192" s="19" t="n">
        <v>191</v>
      </c>
      <c r="B192" s="20" t="inlineStr">
        <is>
          <t>Pancherias lomos sanguchreria pizaerias pizzas</t>
        </is>
      </c>
      <c r="C192" s="15">
        <f>COUNTIF(tblComercios[Categoría],B192)</f>
        <v/>
      </c>
      <c r="D192" s="25">
        <f>IF(SUM($C$2:$C$285)=0,"",C192/SUM($C$2:$C$285))</f>
        <v/>
      </c>
    </row>
    <row r="193">
      <c r="A193" s="22" t="n">
        <v>192</v>
      </c>
      <c r="B193" s="23" t="inlineStr">
        <is>
          <t>Pizzerias casa de comidas</t>
        </is>
      </c>
      <c r="C193" s="13">
        <f>COUNTIF(tblComercios[Categoría],B193)</f>
        <v/>
      </c>
      <c r="D193" s="26">
        <f>IF(SUM($C$2:$C$285)=0,"",C193/SUM($C$2:$C$285))</f>
        <v/>
      </c>
    </row>
    <row r="194">
      <c r="A194" s="19" t="n">
        <v>193</v>
      </c>
      <c r="B194" s="20" t="inlineStr">
        <is>
          <t>Rectificaciones rectificadoras</t>
        </is>
      </c>
      <c r="C194" s="15">
        <f>COUNTIF(tblComercios[Categoría],B194)</f>
        <v/>
      </c>
      <c r="D194" s="25">
        <f>IF(SUM($C$2:$C$285)=0,"",C194/SUM($C$2:$C$285))</f>
        <v/>
      </c>
    </row>
    <row r="195">
      <c r="A195" s="22" t="n">
        <v>194</v>
      </c>
      <c r="B195" s="23" t="inlineStr">
        <is>
          <t>Repuestos de camiones</t>
        </is>
      </c>
      <c r="C195" s="13">
        <f>COUNTIF(tblComercios[Categoría],B195)</f>
        <v/>
      </c>
      <c r="D195" s="26">
        <f>IF(SUM($C$2:$C$285)=0,"",C195/SUM($C$2:$C$285))</f>
        <v/>
      </c>
    </row>
    <row r="196">
      <c r="A196" s="19" t="n">
        <v>195</v>
      </c>
      <c r="B196" s="20" t="inlineStr">
        <is>
          <t>Reumatologia</t>
        </is>
      </c>
      <c r="C196" s="15">
        <f>COUNTIF(tblComercios[Categoría],B196)</f>
        <v/>
      </c>
      <c r="D196" s="25">
        <f>IF(SUM($C$2:$C$285)=0,"",C196/SUM($C$2:$C$285))</f>
        <v/>
      </c>
    </row>
    <row r="197">
      <c r="A197" s="22" t="n">
        <v>196</v>
      </c>
      <c r="B197" s="23" t="inlineStr">
        <is>
          <t>Accesorios para motos</t>
        </is>
      </c>
      <c r="C197" s="13">
        <f>COUNTIF(tblComercios[Categoría],B197)</f>
        <v/>
      </c>
      <c r="D197" s="26">
        <f>IF(SUM($C$2:$C$285)=0,"",C197/SUM($C$2:$C$285))</f>
        <v/>
      </c>
    </row>
    <row r="198">
      <c r="A198" s="19" t="n">
        <v>197</v>
      </c>
      <c r="B198" s="20" t="inlineStr">
        <is>
          <t>Aceite de oliva</t>
        </is>
      </c>
      <c r="C198" s="15">
        <f>COUNTIF(tblComercios[Categoría],B198)</f>
        <v/>
      </c>
      <c r="D198" s="25">
        <f>IF(SUM($C$2:$C$285)=0,"",C198/SUM($C$2:$C$285))</f>
        <v/>
      </c>
    </row>
    <row r="199">
      <c r="A199" s="22" t="n">
        <v>198</v>
      </c>
      <c r="B199" s="23" t="inlineStr">
        <is>
          <t>Acuario tienda</t>
        </is>
      </c>
      <c r="C199" s="13">
        <f>COUNTIF(tblComercios[Categoría],B199)</f>
        <v/>
      </c>
      <c r="D199" s="26">
        <f>IF(SUM($C$2:$C$285)=0,"",C199/SUM($C$2:$C$285))</f>
        <v/>
      </c>
    </row>
    <row r="200">
      <c r="A200" s="19" t="n">
        <v>199</v>
      </c>
      <c r="B200" s="20" t="inlineStr">
        <is>
          <t>Aeropuerto aerodromo</t>
        </is>
      </c>
      <c r="C200" s="15">
        <f>COUNTIF(tblComercios[Categoría],B200)</f>
        <v/>
      </c>
      <c r="D200" s="25">
        <f>IF(SUM($C$2:$C$285)=0,"",C200/SUM($C$2:$C$285))</f>
        <v/>
      </c>
    </row>
    <row r="201">
      <c r="A201" s="22" t="n">
        <v>200</v>
      </c>
      <c r="B201" s="23" t="inlineStr">
        <is>
          <t>Alquiler de motos</t>
        </is>
      </c>
      <c r="C201" s="13">
        <f>COUNTIF(tblComercios[Categoría],B201)</f>
        <v/>
      </c>
      <c r="D201" s="26">
        <f>IF(SUM($C$2:$C$285)=0,"",C201/SUM($C$2:$C$285))</f>
        <v/>
      </c>
    </row>
    <row r="202">
      <c r="A202" s="19" t="n">
        <v>201</v>
      </c>
      <c r="B202" s="20" t="inlineStr">
        <is>
          <t>Alquiler de trajes</t>
        </is>
      </c>
      <c r="C202" s="15">
        <f>COUNTIF(tblComercios[Categoría],B202)</f>
        <v/>
      </c>
      <c r="D202" s="25">
        <f>IF(SUM($C$2:$C$285)=0,"",C202/SUM($C$2:$C$285))</f>
        <v/>
      </c>
    </row>
    <row r="203">
      <c r="A203" s="22" t="n">
        <v>202</v>
      </c>
      <c r="B203" s="23" t="inlineStr">
        <is>
          <t>Alquiler equipamiento indumentaria para nieve</t>
        </is>
      </c>
      <c r="C203" s="13">
        <f>COUNTIF(tblComercios[Categoría],B203)</f>
        <v/>
      </c>
      <c r="D203" s="26">
        <f>IF(SUM($C$2:$C$285)=0,"",C203/SUM($C$2:$C$285))</f>
        <v/>
      </c>
    </row>
    <row r="204">
      <c r="A204" s="19" t="n">
        <v>203</v>
      </c>
      <c r="B204" s="20" t="inlineStr">
        <is>
          <t>Amortiguadores repuestos</t>
        </is>
      </c>
      <c r="C204" s="15">
        <f>COUNTIF(tblComercios[Categoría],B204)</f>
        <v/>
      </c>
      <c r="D204" s="25">
        <f>IF(SUM($C$2:$C$285)=0,"",C204/SUM($C$2:$C$285))</f>
        <v/>
      </c>
    </row>
    <row r="205">
      <c r="A205" s="22" t="n">
        <v>204</v>
      </c>
      <c r="B205" s="23" t="inlineStr">
        <is>
          <t>Armeria</t>
        </is>
      </c>
      <c r="C205" s="13">
        <f>COUNTIF(tblComercios[Categoría],B205)</f>
        <v/>
      </c>
      <c r="D205" s="26">
        <f>IF(SUM($C$2:$C$285)=0,"",C205/SUM($C$2:$C$285))</f>
        <v/>
      </c>
    </row>
    <row r="206">
      <c r="A206" s="19" t="n">
        <v>205</v>
      </c>
      <c r="B206" s="20" t="inlineStr">
        <is>
          <t>Articulos para calzado</t>
        </is>
      </c>
      <c r="C206" s="15">
        <f>COUNTIF(tblComercios[Categoría],B206)</f>
        <v/>
      </c>
      <c r="D206" s="25">
        <f>IF(SUM($C$2:$C$285)=0,"",C206/SUM($C$2:$C$285))</f>
        <v/>
      </c>
    </row>
    <row r="207">
      <c r="A207" s="22" t="n">
        <v>206</v>
      </c>
      <c r="B207" s="23" t="inlineStr">
        <is>
          <t>Autoelevadores</t>
        </is>
      </c>
      <c r="C207" s="13">
        <f>COUNTIF(tblComercios[Categoría],B207)</f>
        <v/>
      </c>
      <c r="D207" s="26">
        <f>IF(SUM($C$2:$C$285)=0,"",C207/SUM($C$2:$C$285))</f>
        <v/>
      </c>
    </row>
    <row r="208">
      <c r="A208" s="19" t="n">
        <v>207</v>
      </c>
      <c r="B208" s="20" t="inlineStr">
        <is>
          <t>Automotores</t>
        </is>
      </c>
      <c r="C208" s="15">
        <f>COUNTIF(tblComercios[Categoría],B208)</f>
        <v/>
      </c>
      <c r="D208" s="25">
        <f>IF(SUM($C$2:$C$285)=0,"",C208/SUM($C$2:$C$285))</f>
        <v/>
      </c>
    </row>
    <row r="209">
      <c r="A209" s="22" t="n">
        <v>208</v>
      </c>
      <c r="B209" s="23" t="inlineStr">
        <is>
          <t>Avicolas</t>
        </is>
      </c>
      <c r="C209" s="13">
        <f>COUNTIF(tblComercios[Categoría],B209)</f>
        <v/>
      </c>
      <c r="D209" s="26">
        <f>IF(SUM($C$2:$C$285)=0,"",C209/SUM($C$2:$C$285))</f>
        <v/>
      </c>
    </row>
    <row r="210">
      <c r="A210" s="19" t="n">
        <v>209</v>
      </c>
      <c r="B210" s="20" t="inlineStr">
        <is>
          <t>Bobinados electricidad</t>
        </is>
      </c>
      <c r="C210" s="15">
        <f>COUNTIF(tblComercios[Categoría],B210)</f>
        <v/>
      </c>
      <c r="D210" s="25">
        <f>IF(SUM($C$2:$C$285)=0,"",C210/SUM($C$2:$C$285))</f>
        <v/>
      </c>
    </row>
    <row r="211">
      <c r="A211" s="22" t="n">
        <v>210</v>
      </c>
      <c r="B211" s="23" t="inlineStr">
        <is>
          <t>Bolsas cerigrafia ecologica</t>
        </is>
      </c>
      <c r="C211" s="13">
        <f>COUNTIF(tblComercios[Categoría],B211)</f>
        <v/>
      </c>
      <c r="D211" s="26">
        <f>IF(SUM($C$2:$C$285)=0,"",C211/SUM($C$2:$C$285))</f>
        <v/>
      </c>
    </row>
    <row r="212">
      <c r="A212" s="19" t="n">
        <v>211</v>
      </c>
      <c r="B212" s="20" t="inlineStr">
        <is>
          <t>Boutique</t>
        </is>
      </c>
      <c r="C212" s="15">
        <f>COUNTIF(tblComercios[Categoría],B212)</f>
        <v/>
      </c>
      <c r="D212" s="25">
        <f>IF(SUM($C$2:$C$285)=0,"",C212/SUM($C$2:$C$285))</f>
        <v/>
      </c>
    </row>
    <row r="213">
      <c r="A213" s="22" t="n">
        <v>212</v>
      </c>
      <c r="B213" s="23" t="inlineStr">
        <is>
          <t>Buloneras ferreterias</t>
        </is>
      </c>
      <c r="C213" s="13">
        <f>COUNTIF(tblComercios[Categoría],B213)</f>
        <v/>
      </c>
      <c r="D213" s="26">
        <f>IF(SUM($C$2:$C$285)=0,"",C213/SUM($C$2:$C$285))</f>
        <v/>
      </c>
    </row>
    <row r="214">
      <c r="A214" s="19" t="n">
        <v>213</v>
      </c>
      <c r="B214" s="20" t="inlineStr">
        <is>
          <t>Calefaccion refrigeracion</t>
        </is>
      </c>
      <c r="C214" s="15">
        <f>COUNTIF(tblComercios[Categoría],B214)</f>
        <v/>
      </c>
      <c r="D214" s="25">
        <f>IF(SUM($C$2:$C$285)=0,"",C214/SUM($C$2:$C$285))</f>
        <v/>
      </c>
    </row>
    <row r="215">
      <c r="A215" s="22" t="n">
        <v>214</v>
      </c>
      <c r="B215" s="23" t="inlineStr">
        <is>
          <t>Candy bar</t>
        </is>
      </c>
      <c r="C215" s="13">
        <f>COUNTIF(tblComercios[Categoría],B215)</f>
        <v/>
      </c>
      <c r="D215" s="26">
        <f>IF(SUM($C$2:$C$285)=0,"",C215/SUM($C$2:$C$285))</f>
        <v/>
      </c>
    </row>
    <row r="216">
      <c r="A216" s="19" t="n">
        <v>215</v>
      </c>
      <c r="B216" s="20" t="inlineStr">
        <is>
          <t>Car audio</t>
        </is>
      </c>
      <c r="C216" s="15">
        <f>COUNTIF(tblComercios[Categoría],B216)</f>
        <v/>
      </c>
      <c r="D216" s="25">
        <f>IF(SUM($C$2:$C$285)=0,"",C216/SUM($C$2:$C$285))</f>
        <v/>
      </c>
    </row>
    <row r="217">
      <c r="A217" s="22" t="n">
        <v>216</v>
      </c>
      <c r="B217" s="23" t="inlineStr">
        <is>
          <t>Casa de te</t>
        </is>
      </c>
      <c r="C217" s="13">
        <f>COUNTIF(tblComercios[Categoría],B217)</f>
        <v/>
      </c>
      <c r="D217" s="26">
        <f>IF(SUM($C$2:$C$285)=0,"",C217/SUM($C$2:$C$285))</f>
        <v/>
      </c>
    </row>
    <row r="218">
      <c r="A218" s="19" t="n">
        <v>217</v>
      </c>
      <c r="B218" s="20" t="inlineStr">
        <is>
          <t>Comiqueria juguetria</t>
        </is>
      </c>
      <c r="C218" s="15">
        <f>COUNTIF(tblComercios[Categoría],B218)</f>
        <v/>
      </c>
      <c r="D218" s="25">
        <f>IF(SUM($C$2:$C$285)=0,"",C218/SUM($C$2:$C$285))</f>
        <v/>
      </c>
    </row>
    <row r="219">
      <c r="A219" s="22" t="n">
        <v>218</v>
      </c>
      <c r="B219" s="23" t="inlineStr">
        <is>
          <t>Congelados</t>
        </is>
      </c>
      <c r="C219" s="13">
        <f>COUNTIF(tblComercios[Categoría],B219)</f>
        <v/>
      </c>
      <c r="D219" s="26">
        <f>IF(SUM($C$2:$C$285)=0,"",C219/SUM($C$2:$C$285))</f>
        <v/>
      </c>
    </row>
    <row r="220">
      <c r="A220" s="19" t="n">
        <v>219</v>
      </c>
      <c r="B220" s="20" t="inlineStr">
        <is>
          <t>Control de plagas desinfecciones fumigaciones</t>
        </is>
      </c>
      <c r="C220" s="15">
        <f>COUNTIF(tblComercios[Categoría],B220)</f>
        <v/>
      </c>
      <c r="D220" s="25">
        <f>IF(SUM($C$2:$C$285)=0,"",C220/SUM($C$2:$C$285))</f>
        <v/>
      </c>
    </row>
    <row r="221">
      <c r="A221" s="22" t="n">
        <v>220</v>
      </c>
      <c r="B221" s="23" t="inlineStr">
        <is>
          <t>Controladores fiscales</t>
        </is>
      </c>
      <c r="C221" s="13">
        <f>COUNTIF(tblComercios[Categoría],B221)</f>
        <v/>
      </c>
      <c r="D221" s="26">
        <f>IF(SUM($C$2:$C$285)=0,"",C221/SUM($C$2:$C$285))</f>
        <v/>
      </c>
    </row>
    <row r="222">
      <c r="A222" s="19" t="n">
        <v>221</v>
      </c>
      <c r="B222" s="20" t="inlineStr">
        <is>
          <t>Cubiertas neumaticos gomeria</t>
        </is>
      </c>
      <c r="C222" s="15">
        <f>COUNTIF(tblComercios[Categoría],B222)</f>
        <v/>
      </c>
      <c r="D222" s="25">
        <f>IF(SUM($C$2:$C$285)=0,"",C222/SUM($C$2:$C$285))</f>
        <v/>
      </c>
    </row>
    <row r="223">
      <c r="A223" s="22" t="n">
        <v>222</v>
      </c>
      <c r="B223" s="23" t="inlineStr">
        <is>
          <t>Cuchilleria</t>
        </is>
      </c>
      <c r="C223" s="13">
        <f>COUNTIF(tblComercios[Categoría],B223)</f>
        <v/>
      </c>
      <c r="D223" s="26">
        <f>IF(SUM($C$2:$C$285)=0,"",C223/SUM($C$2:$C$285))</f>
        <v/>
      </c>
    </row>
    <row r="224">
      <c r="A224" s="19" t="n">
        <v>223</v>
      </c>
      <c r="B224" s="20" t="inlineStr">
        <is>
          <t>Descartables distribuidoras</t>
        </is>
      </c>
      <c r="C224" s="15">
        <f>COUNTIF(tblComercios[Categoría],B224)</f>
        <v/>
      </c>
      <c r="D224" s="25">
        <f>IF(SUM($C$2:$C$285)=0,"",C224/SUM($C$2:$C$285))</f>
        <v/>
      </c>
    </row>
    <row r="225">
      <c r="A225" s="22" t="n">
        <v>224</v>
      </c>
      <c r="B225" s="23" t="inlineStr">
        <is>
          <t>Detailing estetica vehicular</t>
        </is>
      </c>
      <c r="C225" s="13">
        <f>COUNTIF(tblComercios[Categoría],B225)</f>
        <v/>
      </c>
      <c r="D225" s="26">
        <f>IF(SUM($C$2:$C$285)=0,"",C225/SUM($C$2:$C$285))</f>
        <v/>
      </c>
    </row>
    <row r="226">
      <c r="A226" s="19" t="n">
        <v>225</v>
      </c>
      <c r="B226" s="20" t="inlineStr">
        <is>
          <t>Diabetologia</t>
        </is>
      </c>
      <c r="C226" s="15">
        <f>COUNTIF(tblComercios[Categoría],B226)</f>
        <v/>
      </c>
      <c r="D226" s="25">
        <f>IF(SUM($C$2:$C$285)=0,"",C226/SUM($C$2:$C$285))</f>
        <v/>
      </c>
    </row>
    <row r="227">
      <c r="A227" s="22" t="n">
        <v>226</v>
      </c>
      <c r="B227" s="23" t="inlineStr">
        <is>
          <t>Direccion hidraulica</t>
        </is>
      </c>
      <c r="C227" s="13">
        <f>COUNTIF(tblComercios[Categoría],B227)</f>
        <v/>
      </c>
      <c r="D227" s="26">
        <f>IF(SUM($C$2:$C$285)=0,"",C227/SUM($C$2:$C$285))</f>
        <v/>
      </c>
    </row>
    <row r="228">
      <c r="A228" s="19" t="n">
        <v>227</v>
      </c>
      <c r="B228" s="20" t="inlineStr">
        <is>
          <t>Ecografias</t>
        </is>
      </c>
      <c r="C228" s="15">
        <f>COUNTIF(tblComercios[Categoría],B228)</f>
        <v/>
      </c>
      <c r="D228" s="25">
        <f>IF(SUM($C$2:$C$285)=0,"",C228/SUM($C$2:$C$285))</f>
        <v/>
      </c>
    </row>
    <row r="229">
      <c r="A229" s="22" t="n">
        <v>228</v>
      </c>
      <c r="B229" s="23" t="inlineStr">
        <is>
          <t>Electricistas</t>
        </is>
      </c>
      <c r="C229" s="13">
        <f>COUNTIF(tblComercios[Categoría],B229)</f>
        <v/>
      </c>
      <c r="D229" s="26">
        <f>IF(SUM($C$2:$C$285)=0,"",C229/SUM($C$2:$C$285))</f>
        <v/>
      </c>
    </row>
    <row r="230">
      <c r="A230" s="19" t="n">
        <v>229</v>
      </c>
      <c r="B230" s="20" t="inlineStr">
        <is>
          <t>Electronica</t>
        </is>
      </c>
      <c r="C230" s="15">
        <f>COUNTIF(tblComercios[Categoría],B230)</f>
        <v/>
      </c>
      <c r="D230" s="25">
        <f>IF(SUM($C$2:$C$285)=0,"",C230/SUM($C$2:$C$285))</f>
        <v/>
      </c>
    </row>
    <row r="231">
      <c r="A231" s="22" t="n">
        <v>230</v>
      </c>
      <c r="B231" s="23" t="inlineStr">
        <is>
          <t>Energia solar</t>
        </is>
      </c>
      <c r="C231" s="13">
        <f>COUNTIF(tblComercios[Categoría],B231)</f>
        <v/>
      </c>
      <c r="D231" s="26">
        <f>IF(SUM($C$2:$C$285)=0,"",C231/SUM($C$2:$C$285))</f>
        <v/>
      </c>
    </row>
    <row r="232">
      <c r="A232" s="19" t="n">
        <v>231</v>
      </c>
      <c r="B232" s="20" t="inlineStr">
        <is>
          <t>Enfermerias</t>
        </is>
      </c>
      <c r="C232" s="15">
        <f>COUNTIF(tblComercios[Categoría],B232)</f>
        <v/>
      </c>
      <c r="D232" s="25">
        <f>IF(SUM($C$2:$C$285)=0,"",C232/SUM($C$2:$C$285))</f>
        <v/>
      </c>
    </row>
    <row r="233">
      <c r="A233" s="22" t="n">
        <v>232</v>
      </c>
      <c r="B233" s="23" t="inlineStr">
        <is>
          <t>Equipamientos odontologicos</t>
        </is>
      </c>
      <c r="C233" s="13">
        <f>COUNTIF(tblComercios[Categoría],B233)</f>
        <v/>
      </c>
      <c r="D233" s="26">
        <f>IF(SUM($C$2:$C$285)=0,"",C233/SUM($C$2:$C$285))</f>
        <v/>
      </c>
    </row>
    <row r="234">
      <c r="A234" s="19" t="n">
        <v>233</v>
      </c>
      <c r="B234" s="20" t="inlineStr">
        <is>
          <t>Escuela de adiestramiento</t>
        </is>
      </c>
      <c r="C234" s="15">
        <f>COUNTIF(tblComercios[Categoría],B234)</f>
        <v/>
      </c>
      <c r="D234" s="25">
        <f>IF(SUM($C$2:$C$285)=0,"",C234/SUM($C$2:$C$285))</f>
        <v/>
      </c>
    </row>
    <row r="235">
      <c r="A235" s="22" t="n">
        <v>234</v>
      </c>
      <c r="B235" s="23" t="inlineStr">
        <is>
          <t>Estampados</t>
        </is>
      </c>
      <c r="C235" s="13">
        <f>COUNTIF(tblComercios[Categoría],B235)</f>
        <v/>
      </c>
      <c r="D235" s="26">
        <f>IF(SUM($C$2:$C$285)=0,"",C235/SUM($C$2:$C$285))</f>
        <v/>
      </c>
    </row>
    <row r="236">
      <c r="A236" s="19" t="n">
        <v>235</v>
      </c>
      <c r="B236" s="20" t="inlineStr">
        <is>
          <t>Esteticista cosmiatra</t>
        </is>
      </c>
      <c r="C236" s="15">
        <f>COUNTIF(tblComercios[Categoría],B236)</f>
        <v/>
      </c>
      <c r="D236" s="25">
        <f>IF(SUM($C$2:$C$285)=0,"",C236/SUM($C$2:$C$285))</f>
        <v/>
      </c>
    </row>
    <row r="237">
      <c r="A237" s="22" t="n">
        <v>236</v>
      </c>
      <c r="B237" s="23" t="inlineStr">
        <is>
          <t>Farica de atermicos impermeabilizantes</t>
        </is>
      </c>
      <c r="C237" s="13">
        <f>COUNTIF(tblComercios[Categoría],B237)</f>
        <v/>
      </c>
      <c r="D237" s="26">
        <f>IF(SUM($C$2:$C$285)=0,"",C237/SUM($C$2:$C$285))</f>
        <v/>
      </c>
    </row>
    <row r="238">
      <c r="A238" s="19" t="n">
        <v>237</v>
      </c>
      <c r="B238" s="20" t="inlineStr">
        <is>
          <t>Fertilizantes</t>
        </is>
      </c>
      <c r="C238" s="15">
        <f>COUNTIF(tblComercios[Categoría],B238)</f>
        <v/>
      </c>
      <c r="D238" s="25">
        <f>IF(SUM($C$2:$C$285)=0,"",C238/SUM($C$2:$C$285))</f>
        <v/>
      </c>
    </row>
    <row r="239">
      <c r="A239" s="22" t="n">
        <v>238</v>
      </c>
      <c r="B239" s="23" t="inlineStr">
        <is>
          <t>Florerias jardineria</t>
        </is>
      </c>
      <c r="C239" s="13">
        <f>COUNTIF(tblComercios[Categoría],B239)</f>
        <v/>
      </c>
      <c r="D239" s="26">
        <f>IF(SUM($C$2:$C$285)=0,"",C239/SUM($C$2:$C$285))</f>
        <v/>
      </c>
    </row>
    <row r="240">
      <c r="A240" s="19" t="n">
        <v>239</v>
      </c>
      <c r="B240" s="20" t="inlineStr">
        <is>
          <t>Fotocopias</t>
        </is>
      </c>
      <c r="C240" s="15">
        <f>COUNTIF(tblComercios[Categoría],B240)</f>
        <v/>
      </c>
      <c r="D240" s="25">
        <f>IF(SUM($C$2:$C$285)=0,"",C240/SUM($C$2:$C$285))</f>
        <v/>
      </c>
    </row>
    <row r="241">
      <c r="A241" s="22" t="n">
        <v>240</v>
      </c>
      <c r="B241" s="23" t="inlineStr">
        <is>
          <t>Gestoria gestor gestora</t>
        </is>
      </c>
      <c r="C241" s="13">
        <f>COUNTIF(tblComercios[Categoría],B241)</f>
        <v/>
      </c>
      <c r="D241" s="26">
        <f>IF(SUM($C$2:$C$285)=0,"",C241/SUM($C$2:$C$285))</f>
        <v/>
      </c>
    </row>
    <row r="242">
      <c r="A242" s="19" t="n">
        <v>241</v>
      </c>
      <c r="B242" s="20" t="inlineStr">
        <is>
          <t>Gigantografias graficas</t>
        </is>
      </c>
      <c r="C242" s="15">
        <f>COUNTIF(tblComercios[Categoría],B242)</f>
        <v/>
      </c>
      <c r="D242" s="25">
        <f>IF(SUM($C$2:$C$285)=0,"",C242/SUM($C$2:$C$285))</f>
        <v/>
      </c>
    </row>
    <row r="243">
      <c r="A243" s="22" t="n">
        <v>242</v>
      </c>
      <c r="B243" s="23" t="inlineStr">
        <is>
          <t>Gimnasia artistica gimnasios</t>
        </is>
      </c>
      <c r="C243" s="13">
        <f>COUNTIF(tblComercios[Categoría],B243)</f>
        <v/>
      </c>
      <c r="D243" s="26">
        <f>IF(SUM($C$2:$C$285)=0,"",C243/SUM($C$2:$C$285))</f>
        <v/>
      </c>
    </row>
    <row r="244">
      <c r="A244" s="19" t="n">
        <v>243</v>
      </c>
      <c r="B244" s="20" t="inlineStr">
        <is>
          <t>Graficas imprentas</t>
        </is>
      </c>
      <c r="C244" s="15">
        <f>COUNTIF(tblComercios[Categoría],B244)</f>
        <v/>
      </c>
      <c r="D244" s="25">
        <f>IF(SUM($C$2:$C$285)=0,"",C244/SUM($C$2:$C$285))</f>
        <v/>
      </c>
    </row>
    <row r="245">
      <c r="A245" s="22" t="n">
        <v>244</v>
      </c>
      <c r="B245" s="23" t="inlineStr">
        <is>
          <t>Hamburguesas sanwicheria lomos comidas</t>
        </is>
      </c>
      <c r="C245" s="13">
        <f>COUNTIF(tblComercios[Categoría],B245)</f>
        <v/>
      </c>
      <c r="D245" s="26">
        <f>IF(SUM($C$2:$C$285)=0,"",C245/SUM($C$2:$C$285))</f>
        <v/>
      </c>
    </row>
    <row r="246">
      <c r="A246" s="19" t="n">
        <v>245</v>
      </c>
      <c r="B246" s="20" t="inlineStr">
        <is>
          <t>Hidroterapia kinesiologia</t>
        </is>
      </c>
      <c r="C246" s="15">
        <f>COUNTIF(tblComercios[Categoría],B246)</f>
        <v/>
      </c>
      <c r="D246" s="25">
        <f>IF(SUM($C$2:$C$285)=0,"",C246/SUM($C$2:$C$285))</f>
        <v/>
      </c>
    </row>
    <row r="247">
      <c r="A247" s="22" t="n">
        <v>246</v>
      </c>
      <c r="B247" s="23" t="inlineStr">
        <is>
          <t>Hojalateria</t>
        </is>
      </c>
      <c r="C247" s="13">
        <f>COUNTIF(tblComercios[Categoría],B247)</f>
        <v/>
      </c>
      <c r="D247" s="26">
        <f>IF(SUM($C$2:$C$285)=0,"",C247/SUM($C$2:$C$285))</f>
        <v/>
      </c>
    </row>
    <row r="248">
      <c r="A248" s="19" t="n">
        <v>247</v>
      </c>
      <c r="B248" s="20" t="inlineStr">
        <is>
          <t>Impresoras</t>
        </is>
      </c>
      <c r="C248" s="15">
        <f>COUNTIF(tblComercios[Categoría],B248)</f>
        <v/>
      </c>
      <c r="D248" s="25">
        <f>IF(SUM($C$2:$C$285)=0,"",C248/SUM($C$2:$C$285))</f>
        <v/>
      </c>
    </row>
    <row r="249">
      <c r="A249" s="22" t="n">
        <v>248</v>
      </c>
      <c r="B249" s="23" t="inlineStr">
        <is>
          <t>Institutos de musica</t>
        </is>
      </c>
      <c r="C249" s="13">
        <f>COUNTIF(tblComercios[Categoría],B249)</f>
        <v/>
      </c>
      <c r="D249" s="26">
        <f>IF(SUM($C$2:$C$285)=0,"",C249/SUM($C$2:$C$285))</f>
        <v/>
      </c>
    </row>
    <row r="250">
      <c r="A250" s="19" t="n">
        <v>249</v>
      </c>
      <c r="B250" s="20" t="inlineStr">
        <is>
          <t>Institutos terapeuticos</t>
        </is>
      </c>
      <c r="C250" s="15">
        <f>COUNTIF(tblComercios[Categoría],B250)</f>
        <v/>
      </c>
      <c r="D250" s="25">
        <f>IF(SUM($C$2:$C$285)=0,"",C250/SUM($C$2:$C$285))</f>
        <v/>
      </c>
    </row>
    <row r="251">
      <c r="A251" s="22" t="n">
        <v>250</v>
      </c>
      <c r="B251" s="23" t="inlineStr">
        <is>
          <t>Insulos agricolas riego</t>
        </is>
      </c>
      <c r="C251" s="13">
        <f>COUNTIF(tblComercios[Categoría],B251)</f>
        <v/>
      </c>
      <c r="D251" s="26">
        <f>IF(SUM($C$2:$C$285)=0,"",C251/SUM($C$2:$C$285))</f>
        <v/>
      </c>
    </row>
    <row r="252">
      <c r="A252" s="19" t="n">
        <v>251</v>
      </c>
      <c r="B252" s="20" t="inlineStr">
        <is>
          <t>Intitutos de ingles</t>
        </is>
      </c>
      <c r="C252" s="15">
        <f>COUNTIF(tblComercios[Categoría],B252)</f>
        <v/>
      </c>
      <c r="D252" s="25">
        <f>IF(SUM($C$2:$C$285)=0,"",C252/SUM($C$2:$C$285))</f>
        <v/>
      </c>
    </row>
    <row r="253">
      <c r="A253" s="22" t="n">
        <v>252</v>
      </c>
      <c r="B253" s="23" t="inlineStr">
        <is>
          <t>Jardines maternales</t>
        </is>
      </c>
      <c r="C253" s="13">
        <f>COUNTIF(tblComercios[Categoría],B253)</f>
        <v/>
      </c>
      <c r="D253" s="26">
        <f>IF(SUM($C$2:$C$285)=0,"",C253/SUM($C$2:$C$285))</f>
        <v/>
      </c>
    </row>
    <row r="254">
      <c r="A254" s="19" t="n">
        <v>253</v>
      </c>
      <c r="B254" s="20" t="inlineStr">
        <is>
          <t>Manicuria nails</t>
        </is>
      </c>
      <c r="C254" s="15">
        <f>COUNTIF(tblComercios[Categoría],B254)</f>
        <v/>
      </c>
      <c r="D254" s="25">
        <f>IF(SUM($C$2:$C$285)=0,"",C254/SUM($C$2:$C$285))</f>
        <v/>
      </c>
    </row>
    <row r="255">
      <c r="A255" s="22" t="n">
        <v>254</v>
      </c>
      <c r="B255" s="23" t="inlineStr">
        <is>
          <t>Mariscos pescaderias</t>
        </is>
      </c>
      <c r="C255" s="13">
        <f>COUNTIF(tblComercios[Categoría],B255)</f>
        <v/>
      </c>
      <c r="D255" s="26">
        <f>IF(SUM($C$2:$C$285)=0,"",C255/SUM($C$2:$C$285))</f>
        <v/>
      </c>
    </row>
    <row r="256">
      <c r="A256" s="19" t="n">
        <v>255</v>
      </c>
      <c r="B256" s="20" t="inlineStr">
        <is>
          <t>Marqueteria marcos</t>
        </is>
      </c>
      <c r="C256" s="15">
        <f>COUNTIF(tblComercios[Categoría],B256)</f>
        <v/>
      </c>
      <c r="D256" s="25">
        <f>IF(SUM($C$2:$C$285)=0,"",C256/SUM($C$2:$C$285))</f>
        <v/>
      </c>
    </row>
    <row r="257">
      <c r="A257" s="22" t="n">
        <v>256</v>
      </c>
      <c r="B257" s="23" t="inlineStr">
        <is>
          <t>Marroquineria</t>
        </is>
      </c>
      <c r="C257" s="13">
        <f>COUNTIF(tblComercios[Categoría],B257)</f>
        <v/>
      </c>
      <c r="D257" s="26">
        <f>IF(SUM($C$2:$C$285)=0,"",C257/SUM($C$2:$C$285))</f>
        <v/>
      </c>
    </row>
    <row r="258">
      <c r="A258" s="19" t="n">
        <v>257</v>
      </c>
      <c r="B258" s="20" t="inlineStr">
        <is>
          <t>Masajes</t>
        </is>
      </c>
      <c r="C258" s="15">
        <f>COUNTIF(tblComercios[Categoría],B258)</f>
        <v/>
      </c>
      <c r="D258" s="25">
        <f>IF(SUM($C$2:$C$285)=0,"",C258/SUM($C$2:$C$285))</f>
        <v/>
      </c>
    </row>
    <row r="259">
      <c r="A259" s="22" t="n">
        <v>258</v>
      </c>
      <c r="B259" s="23" t="inlineStr">
        <is>
          <t>Masoterapia masoterapeuta</t>
        </is>
      </c>
      <c r="C259" s="13">
        <f>COUNTIF(tblComercios[Categoría],B259)</f>
        <v/>
      </c>
      <c r="D259" s="26">
        <f>IF(SUM($C$2:$C$285)=0,"",C259/SUM($C$2:$C$285))</f>
        <v/>
      </c>
    </row>
    <row r="260">
      <c r="A260" s="19" t="n">
        <v>259</v>
      </c>
      <c r="B260" s="20" t="inlineStr">
        <is>
          <t>Mecanica gnc automotor</t>
        </is>
      </c>
      <c r="C260" s="15">
        <f>COUNTIF(tblComercios[Categoría],B260)</f>
        <v/>
      </c>
      <c r="D260" s="25">
        <f>IF(SUM($C$2:$C$285)=0,"",C260/SUM($C$2:$C$285))</f>
        <v/>
      </c>
    </row>
    <row r="261">
      <c r="A261" s="22" t="n">
        <v>260</v>
      </c>
      <c r="B261" s="23" t="inlineStr">
        <is>
          <t>Medicina estetica</t>
        </is>
      </c>
      <c r="C261" s="13">
        <f>COUNTIF(tblComercios[Categoría],B261)</f>
        <v/>
      </c>
      <c r="D261" s="26">
        <f>IF(SUM($C$2:$C$285)=0,"",C261/SUM($C$2:$C$285))</f>
        <v/>
      </c>
    </row>
    <row r="262">
      <c r="A262" s="19" t="n">
        <v>261</v>
      </c>
      <c r="B262" s="20" t="inlineStr">
        <is>
          <t>Neurologia infantil pediatria</t>
        </is>
      </c>
      <c r="C262" s="15">
        <f>COUNTIF(tblComercios[Categoría],B262)</f>
        <v/>
      </c>
      <c r="D262" s="25">
        <f>IF(SUM($C$2:$C$285)=0,"",C262/SUM($C$2:$C$285))</f>
        <v/>
      </c>
    </row>
    <row r="263">
      <c r="A263" s="22" t="n">
        <v>262</v>
      </c>
      <c r="B263" s="23" t="inlineStr">
        <is>
          <t>Neurologia neurologo neurologa</t>
        </is>
      </c>
      <c r="C263" s="13">
        <f>COUNTIF(tblComercios[Categoría],B263)</f>
        <v/>
      </c>
      <c r="D263" s="26">
        <f>IF(SUM($C$2:$C$285)=0,"",C263/SUM($C$2:$C$285))</f>
        <v/>
      </c>
    </row>
    <row r="264">
      <c r="A264" s="19" t="n">
        <v>263</v>
      </c>
      <c r="B264" s="20" t="inlineStr">
        <is>
          <t>Obstetricia ginecologia</t>
        </is>
      </c>
      <c r="C264" s="15">
        <f>COUNTIF(tblComercios[Categoría],B264)</f>
        <v/>
      </c>
      <c r="D264" s="25">
        <f>IF(SUM($C$2:$C$285)=0,"",C264/SUM($C$2:$C$285))</f>
        <v/>
      </c>
    </row>
    <row r="265">
      <c r="A265" s="22" t="n">
        <v>264</v>
      </c>
      <c r="B265" s="23" t="inlineStr">
        <is>
          <t>Opticas contactologia</t>
        </is>
      </c>
      <c r="C265" s="13">
        <f>COUNTIF(tblComercios[Categoría],B265)</f>
        <v/>
      </c>
      <c r="D265" s="26">
        <f>IF(SUM($C$2:$C$285)=0,"",C265/SUM($C$2:$C$285))</f>
        <v/>
      </c>
    </row>
    <row r="266">
      <c r="A266" s="19" t="n">
        <v>265</v>
      </c>
      <c r="B266" s="20" t="inlineStr">
        <is>
          <t>Ortopedagogia</t>
        </is>
      </c>
      <c r="C266" s="15">
        <f>COUNTIF(tblComercios[Categoría],B266)</f>
        <v/>
      </c>
      <c r="D266" s="25">
        <f>IF(SUM($C$2:$C$285)=0,"",C266/SUM($C$2:$C$285))</f>
        <v/>
      </c>
    </row>
    <row r="267">
      <c r="A267" s="22" t="n">
        <v>266</v>
      </c>
      <c r="B267" s="23" t="inlineStr">
        <is>
          <t>Pedicuria</t>
        </is>
      </c>
      <c r="C267" s="13">
        <f>COUNTIF(tblComercios[Categoría],B267)</f>
        <v/>
      </c>
      <c r="D267" s="26">
        <f>IF(SUM($C$2:$C$285)=0,"",C267/SUM($C$2:$C$285))</f>
        <v/>
      </c>
    </row>
    <row r="268">
      <c r="A268" s="19" t="n">
        <v>267</v>
      </c>
      <c r="B268" s="20" t="inlineStr">
        <is>
          <t>Polleria</t>
        </is>
      </c>
      <c r="C268" s="15">
        <f>COUNTIF(tblComercios[Categoría],B268)</f>
        <v/>
      </c>
      <c r="D268" s="25">
        <f>IF(SUM($C$2:$C$285)=0,"",C268/SUM($C$2:$C$285))</f>
        <v/>
      </c>
    </row>
    <row r="269">
      <c r="A269" s="22" t="n">
        <v>268</v>
      </c>
      <c r="B269" s="23" t="inlineStr">
        <is>
          <t>Psiquiatria</t>
        </is>
      </c>
      <c r="C269" s="13">
        <f>COUNTIF(tblComercios[Categoría],B269)</f>
        <v/>
      </c>
      <c r="D269" s="26">
        <f>IF(SUM($C$2:$C$285)=0,"",C269/SUM($C$2:$C$285))</f>
        <v/>
      </c>
    </row>
    <row r="270">
      <c r="A270" s="19" t="n">
        <v>269</v>
      </c>
      <c r="B270" s="20" t="inlineStr">
        <is>
          <t>Radiadores repuestos taller</t>
        </is>
      </c>
      <c r="C270" s="15">
        <f>COUNTIF(tblComercios[Categoría],B270)</f>
        <v/>
      </c>
      <c r="D270" s="25">
        <f>IF(SUM($C$2:$C$285)=0,"",C270/SUM($C$2:$C$285))</f>
        <v/>
      </c>
    </row>
    <row r="271">
      <c r="A271" s="22" t="n">
        <v>270</v>
      </c>
      <c r="B271" s="23" t="inlineStr">
        <is>
          <t>Rapi pago</t>
        </is>
      </c>
      <c r="C271" s="13">
        <f>COUNTIF(tblComercios[Categoría],B271)</f>
        <v/>
      </c>
      <c r="D271" s="26">
        <f>IF(SUM($C$2:$C$285)=0,"",C271/SUM($C$2:$C$285))</f>
        <v/>
      </c>
    </row>
    <row r="272">
      <c r="A272" s="19" t="n">
        <v>271</v>
      </c>
      <c r="B272" s="20" t="inlineStr">
        <is>
          <t>Refigeracion aire acondicionado</t>
        </is>
      </c>
      <c r="C272" s="15">
        <f>COUNTIF(tblComercios[Categoría],B272)</f>
        <v/>
      </c>
      <c r="D272" s="25">
        <f>IF(SUM($C$2:$C$285)=0,"",C272/SUM($C$2:$C$285))</f>
        <v/>
      </c>
    </row>
    <row r="273">
      <c r="A273" s="22" t="n">
        <v>272</v>
      </c>
      <c r="B273" s="23" t="inlineStr">
        <is>
          <t>Rotiserias casa de comidas</t>
        </is>
      </c>
      <c r="C273" s="13">
        <f>COUNTIF(tblComercios[Categoría],B273)</f>
        <v/>
      </c>
      <c r="D273" s="26">
        <f>IF(SUM($C$2:$C$285)=0,"",C273/SUM($C$2:$C$285))</f>
        <v/>
      </c>
    </row>
    <row r="274">
      <c r="A274" s="19" t="n">
        <v>273</v>
      </c>
      <c r="B274" s="20" t="inlineStr">
        <is>
          <t>Sala de velatorios cremaciones cocherias</t>
        </is>
      </c>
      <c r="C274" s="15">
        <f>COUNTIF(tblComercios[Categoría],B274)</f>
        <v/>
      </c>
      <c r="D274" s="25">
        <f>IF(SUM($C$2:$C$285)=0,"",C274/SUM($C$2:$C$285))</f>
        <v/>
      </c>
    </row>
    <row r="275">
      <c r="A275" s="22" t="n">
        <v>274</v>
      </c>
      <c r="B275" s="23" t="inlineStr">
        <is>
          <t>Salon de eventos</t>
        </is>
      </c>
      <c r="C275" s="13">
        <f>COUNTIF(tblComercios[Categoría],B275)</f>
        <v/>
      </c>
      <c r="D275" s="26">
        <f>IF(SUM($C$2:$C$285)=0,"",C275/SUM($C$2:$C$285))</f>
        <v/>
      </c>
    </row>
    <row r="276">
      <c r="A276" s="19" t="n">
        <v>275</v>
      </c>
      <c r="B276" s="20" t="inlineStr">
        <is>
          <t>Seguros generales</t>
        </is>
      </c>
      <c r="C276" s="15">
        <f>COUNTIF(tblComercios[Categoría],B276)</f>
        <v/>
      </c>
      <c r="D276" s="25">
        <f>IF(SUM($C$2:$C$285)=0,"",C276/SUM($C$2:$C$285))</f>
        <v/>
      </c>
    </row>
    <row r="277">
      <c r="A277" s="22" t="n">
        <v>276</v>
      </c>
      <c r="B277" s="23" t="inlineStr">
        <is>
          <t>Servicio de electrodomesticos service</t>
        </is>
      </c>
      <c r="C277" s="13">
        <f>COUNTIF(tblComercios[Categoría],B277)</f>
        <v/>
      </c>
      <c r="D277" s="26">
        <f>IF(SUM($C$2:$C$285)=0,"",C277/SUM($C$2:$C$285))</f>
        <v/>
      </c>
    </row>
    <row r="278">
      <c r="A278" s="19" t="n">
        <v>277</v>
      </c>
      <c r="B278" s="20" t="inlineStr">
        <is>
          <t>Suspencion tren delantero</t>
        </is>
      </c>
      <c r="C278" s="15">
        <f>COUNTIF(tblComercios[Categoría],B278)</f>
        <v/>
      </c>
      <c r="D278" s="25">
        <f>IF(SUM($C$2:$C$285)=0,"",C278/SUM($C$2:$C$285))</f>
        <v/>
      </c>
    </row>
    <row r="279">
      <c r="A279" s="22" t="n">
        <v>278</v>
      </c>
      <c r="B279" s="23" t="inlineStr">
        <is>
          <t>Taller de calzado</t>
        </is>
      </c>
      <c r="C279" s="13">
        <f>COUNTIF(tblComercios[Categoría],B279)</f>
        <v/>
      </c>
      <c r="D279" s="26">
        <f>IF(SUM($C$2:$C$285)=0,"",C279/SUM($C$2:$C$285))</f>
        <v/>
      </c>
    </row>
    <row r="280">
      <c r="A280" s="19" t="n">
        <v>279</v>
      </c>
      <c r="B280" s="20" t="inlineStr">
        <is>
          <t>Tapicerias</t>
        </is>
      </c>
      <c r="C280" s="15">
        <f>COUNTIF(tblComercios[Categoría],B280)</f>
        <v/>
      </c>
      <c r="D280" s="25">
        <f>IF(SUM($C$2:$C$285)=0,"",C280/SUM($C$2:$C$285))</f>
        <v/>
      </c>
    </row>
    <row r="281">
      <c r="A281" s="22" t="n">
        <v>280</v>
      </c>
      <c r="B281" s="23" t="inlineStr">
        <is>
          <t>Taxis remises</t>
        </is>
      </c>
      <c r="C281" s="13">
        <f>COUNTIF(tblComercios[Categoría],B281)</f>
        <v/>
      </c>
      <c r="D281" s="26">
        <f>IF(SUM($C$2:$C$285)=0,"",C281/SUM($C$2:$C$285))</f>
        <v/>
      </c>
    </row>
    <row r="282">
      <c r="A282" s="19" t="n">
        <v>281</v>
      </c>
      <c r="B282" s="20" t="inlineStr">
        <is>
          <t>Terapia del lenguaje terapista</t>
        </is>
      </c>
      <c r="C282" s="15">
        <f>COUNTIF(tblComercios[Categoría],B282)</f>
        <v/>
      </c>
      <c r="D282" s="25">
        <f>IF(SUM($C$2:$C$285)=0,"",C282/SUM($C$2:$C$285))</f>
        <v/>
      </c>
    </row>
    <row r="283">
      <c r="A283" s="22" t="n">
        <v>282</v>
      </c>
      <c r="B283" s="23" t="inlineStr">
        <is>
          <t>Traductores ingles</t>
        </is>
      </c>
      <c r="C283" s="13">
        <f>COUNTIF(tblComercios[Categoría],B283)</f>
        <v/>
      </c>
      <c r="D283" s="26">
        <f>IF(SUM($C$2:$C$285)=0,"",C283/SUM($C$2:$C$285))</f>
        <v/>
      </c>
    </row>
    <row r="284">
      <c r="A284" s="19" t="n">
        <v>283</v>
      </c>
      <c r="B284" s="20" t="inlineStr">
        <is>
          <t>Turismo aventura</t>
        </is>
      </c>
      <c r="C284" s="15">
        <f>COUNTIF(tblComercios[Categoría],B284)</f>
        <v/>
      </c>
      <c r="D284" s="25">
        <f>IF(SUM($C$2:$C$285)=0,"",C284/SUM($C$2:$C$285))</f>
        <v/>
      </c>
    </row>
    <row r="285">
      <c r="A285" s="22" t="n">
        <v>284</v>
      </c>
      <c r="B285" s="23" t="inlineStr">
        <is>
          <t>Vidrierias vidrios cristales cristalerias</t>
        </is>
      </c>
      <c r="C285" s="13">
        <f>COUNTIF(tblComercios[Categoría],B285)</f>
        <v/>
      </c>
      <c r="D285" s="26">
        <f>IF(SUM($C$2:$C$285)=0,"",C285/SUM($C$2:$C$285))</f>
        <v/>
      </c>
    </row>
  </sheetData>
  <conditionalFormatting sqref="C2:C285">
    <cfRule type="dataBar" priority="1">
      <dataBar showValue="1">
        <cfvo type="min"/>
        <cfvo type="max"/>
        <color rgb="000F766E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2026-08-24T16:59:40Z</dcterms:created>
  <dcterms:modified xsi:type="dcterms:W3CDTF">2026-08-24T16:59:41Z</dcterms:modified>
</cp:coreProperties>
</file>